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prichard/Library/Mobile Documents/com~apple~CloudDocs/Exeter UCU/Joint Union Pay Claim/"/>
    </mc:Choice>
  </mc:AlternateContent>
  <xr:revisionPtr revIDLastSave="0" documentId="13_ncr:1_{923026BA-0C68-4A46-AC77-F448388ED3F8}" xr6:coauthVersionLast="47" xr6:coauthVersionMax="47" xr10:uidLastSave="{00000000-0000-0000-0000-000000000000}"/>
  <bookViews>
    <workbookView xWindow="1420" yWindow="500" windowWidth="39520" windowHeight="22540" xr2:uid="{00000000-000D-0000-FFFF-FFFF00000000}"/>
  </bookViews>
  <sheets>
    <sheet name="Simplified" sheetId="9" r:id="rId1"/>
    <sheet name="B &amp; C" sheetId="2" r:id="rId2"/>
    <sheet name="Grade D" sheetId="3" r:id="rId3"/>
    <sheet name="Grade E" sheetId="4" r:id="rId4"/>
    <sheet name="Grade F" sheetId="5" r:id="rId5"/>
    <sheet name="Grade G" sheetId="6" r:id="rId6"/>
    <sheet name="Grade H" sheetId="7" r:id="rId7"/>
    <sheet name="Professors" sheetId="8" r:id="rId8"/>
    <sheet name="points data 28.6.23" sheetId="10" r:id="rId9"/>
    <sheet name="TU Version" sheetId="1" r:id="rId10"/>
  </sheets>
  <definedNames>
    <definedName name="_xlnm.Print_Area" localSheetId="9">'TU Version'!$A$1:$X$77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Q7" i="8"/>
  <c r="Q9" i="8"/>
  <c r="Q8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Q19" i="8"/>
  <c r="Q20" i="8"/>
  <c r="Q21" i="8"/>
  <c r="Q22" i="8"/>
  <c r="Q23" i="8"/>
  <c r="Q24" i="8"/>
  <c r="Q18" i="8"/>
  <c r="N18" i="7"/>
  <c r="N17" i="7"/>
  <c r="N16" i="7"/>
  <c r="N15" i="7"/>
  <c r="N14" i="7"/>
  <c r="N13" i="7"/>
  <c r="N12" i="7"/>
  <c r="N11" i="7"/>
  <c r="N10" i="7"/>
  <c r="M17" i="6"/>
  <c r="M16" i="6"/>
  <c r="M15" i="6"/>
  <c r="M14" i="6"/>
  <c r="M13" i="6"/>
  <c r="M12" i="6"/>
  <c r="M11" i="6"/>
  <c r="M10" i="6"/>
  <c r="M9" i="6"/>
  <c r="M8" i="6"/>
  <c r="M18" i="6"/>
  <c r="M19" i="5"/>
  <c r="M18" i="5"/>
  <c r="M17" i="5"/>
  <c r="M16" i="5"/>
  <c r="M14" i="5"/>
  <c r="M13" i="5"/>
  <c r="M12" i="5"/>
  <c r="M12" i="4"/>
  <c r="M13" i="4"/>
  <c r="M14" i="4"/>
  <c r="M15" i="4"/>
  <c r="M16" i="4"/>
  <c r="M17" i="4"/>
  <c r="M18" i="4"/>
  <c r="M12" i="3"/>
  <c r="M13" i="3"/>
  <c r="M14" i="3"/>
  <c r="M15" i="3"/>
  <c r="M16" i="3"/>
  <c r="H13" i="7"/>
  <c r="H12" i="7"/>
  <c r="H11" i="7"/>
  <c r="H10" i="7"/>
  <c r="H9" i="7"/>
  <c r="H8" i="7"/>
  <c r="H7" i="7"/>
  <c r="H6" i="7"/>
  <c r="H5" i="7"/>
  <c r="G14" i="6"/>
  <c r="G13" i="6"/>
  <c r="G12" i="6"/>
  <c r="G11" i="6"/>
  <c r="G10" i="6"/>
  <c r="G9" i="6"/>
  <c r="G8" i="6"/>
  <c r="G7" i="6"/>
  <c r="G6" i="6"/>
  <c r="G5" i="6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I16" i="3"/>
  <c r="K15" i="2"/>
  <c r="K14" i="2"/>
  <c r="K13" i="2"/>
  <c r="K12" i="2"/>
  <c r="K11" i="2"/>
  <c r="K10" i="2"/>
  <c r="K9" i="2"/>
  <c r="K8" i="2"/>
  <c r="K7" i="2"/>
  <c r="K6" i="2"/>
  <c r="K5" i="2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</calcChain>
</file>

<file path=xl/sharedStrings.xml><?xml version="1.0" encoding="utf-8"?>
<sst xmlns="http://schemas.openxmlformats.org/spreadsheetml/2006/main" count="442" uniqueCount="65">
  <si>
    <t>Spine Point</t>
  </si>
  <si>
    <t>D</t>
  </si>
  <si>
    <t>C</t>
  </si>
  <si>
    <t>B</t>
  </si>
  <si>
    <t>H</t>
  </si>
  <si>
    <t>E</t>
  </si>
  <si>
    <t>F</t>
  </si>
  <si>
    <t>G</t>
  </si>
  <si>
    <t>Academic Job Families</t>
  </si>
  <si>
    <t>Associate Professor (E&amp;R and E&amp;S)</t>
  </si>
  <si>
    <t>Senior Lecturer (E&amp;R and E&amp;S), Senior Research Fellow</t>
  </si>
  <si>
    <t>Lecturer (E&amp;R and E&amp;S), Research Fellow</t>
  </si>
  <si>
    <t>Prof Band 1</t>
  </si>
  <si>
    <t>Prof Band 2</t>
  </si>
  <si>
    <t>Prof Band 3 (spot salaries)</t>
  </si>
  <si>
    <t>Associate Lecturer (E&amp;S), Graduate Research Assistant</t>
  </si>
  <si>
    <t>Postdoctoral Research Associate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</si>
  <si>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</si>
  <si>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</si>
  <si>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</si>
  <si>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</si>
  <si>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</si>
  <si>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</si>
  <si>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</si>
  <si>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</si>
  <si>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</si>
  <si>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2022/23</t>
  </si>
  <si>
    <t>Salary from 1 Nov 2022</t>
  </si>
  <si>
    <t>Not used</t>
  </si>
  <si>
    <t>Salary from 1 Aug 2023</t>
  </si>
  <si>
    <t>Grade F</t>
  </si>
  <si>
    <t>Grade G</t>
  </si>
  <si>
    <t>Grade H</t>
  </si>
  <si>
    <t>Prof Band 3</t>
  </si>
  <si>
    <t>UNIVERSITY OF EXETER: PAY SCALES</t>
  </si>
  <si>
    <t>Current Point</t>
  </si>
  <si>
    <t>Assimilated Point</t>
  </si>
  <si>
    <t>Grade E</t>
  </si>
  <si>
    <t>Grade D</t>
  </si>
  <si>
    <t>Grade C</t>
  </si>
  <si>
    <t>Grade B</t>
  </si>
  <si>
    <t>22
21
20
19
18</t>
  </si>
  <si>
    <t>18 (Not used)</t>
  </si>
  <si>
    <t>17 (Not used)</t>
  </si>
  <si>
    <t>16 (Not used)</t>
  </si>
  <si>
    <t>10 (Not used)</t>
  </si>
  <si>
    <t>9 (Not used)</t>
  </si>
  <si>
    <t>4 (Not used)</t>
  </si>
  <si>
    <t>3 (Not used)</t>
  </si>
  <si>
    <t>NEW POINT 72</t>
  </si>
  <si>
    <t>New point</t>
  </si>
  <si>
    <t xml:space="preserve"> Joint Trade Union Claim (3 April 2023)</t>
  </si>
  <si>
    <t>No change</t>
  </si>
  <si>
    <t>PROF 1</t>
  </si>
  <si>
    <t>PROF 2</t>
  </si>
  <si>
    <t>PROF 3</t>
  </si>
  <si>
    <t>Salary from 1 Feb 2023</t>
  </si>
  <si>
    <t>Notes</t>
  </si>
  <si>
    <t>Local rate is higher than JNCHES rate</t>
  </si>
  <si>
    <t>Increase to JNCHES rate</t>
  </si>
  <si>
    <t>JNCHES or Local Rates?</t>
  </si>
  <si>
    <t>&lt;5</t>
  </si>
  <si>
    <t>Female</t>
  </si>
  <si>
    <t>Male</t>
  </si>
  <si>
    <t>Total number at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</si>
</sst>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£&quot;#,##0;[Red]\-&quot;£&quot;#,##0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&quot;£&quot;#,##0"/>
    <numFmt numFmtId="169" formatCode="0.0"/>
  </numFmts>
  <fonts count="13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i/>
      <sz val="9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0" xfId="0" quotePrefix="1" applyFont="1"/>
    <xf numFmtId="3" fontId="1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textRotation="180" wrapText="1"/>
    </xf>
    <xf numFmtId="0" fontId="1" fillId="3" borderId="0" xfId="0" applyFont="1" applyFill="1" applyAlignment="1">
      <alignment horizontal="right"/>
    </xf>
    <xf numFmtId="3" fontId="1" fillId="0" borderId="0" xfId="0" applyNumberFormat="1" applyFont="1" applyAlignment="1">
      <alignment vertical="center" textRotation="180" wrapText="1"/>
    </xf>
    <xf numFmtId="0" fontId="1" fillId="4" borderId="1" xfId="0" applyFont="1" applyFill="1" applyBorder="1"/>
    <xf numFmtId="0" fontId="1" fillId="4" borderId="5" xfId="0" applyFont="1" applyFill="1" applyBorder="1"/>
    <xf numFmtId="165" fontId="1" fillId="0" borderId="1" xfId="0" applyNumberFormat="1" applyFont="1" applyBorder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1" fillId="0" borderId="16" xfId="0" applyFont="1" applyBorder="1"/>
    <xf numFmtId="164" fontId="4" fillId="0" borderId="0" xfId="0" applyNumberFormat="1" applyFont="1" applyAlignment="1">
      <alignment horizontal="right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5" fillId="3" borderId="0" xfId="0" applyFont="1" applyFill="1" applyAlignment="1">
      <alignment horizontal="center" wrapText="1"/>
    </xf>
    <xf numFmtId="0" fontId="5" fillId="4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 textRotation="180" wrapText="1"/>
    </xf>
    <xf numFmtId="0" fontId="5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textRotation="180" wrapText="1"/>
    </xf>
    <xf numFmtId="0" fontId="5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3" fontId="4" fillId="0" borderId="0" xfId="0" applyNumberFormat="1" applyFont="1" applyAlignment="1">
      <alignment textRotation="180" wrapText="1"/>
    </xf>
    <xf numFmtId="165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68" fontId="1" fillId="7" borderId="1" xfId="0" applyNumberFormat="1" applyFont="1" applyFill="1" applyBorder="1" applyAlignment="1">
      <alignment horizontal="center"/>
    </xf>
    <xf numFmtId="168" fontId="4" fillId="7" borderId="0" xfId="0" applyNumberFormat="1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" fillId="0" borderId="18" xfId="0" applyFont="1" applyBorder="1"/>
    <xf numFmtId="0" fontId="1" fillId="6" borderId="1" xfId="0" applyFont="1" applyFill="1" applyBorder="1"/>
    <xf numFmtId="0" fontId="1" fillId="0" borderId="19" xfId="0" applyFont="1" applyBorder="1"/>
    <xf numFmtId="0" fontId="1" fillId="6" borderId="10" xfId="0" applyFont="1" applyFill="1" applyBorder="1"/>
    <xf numFmtId="0" fontId="1" fillId="0" borderId="20" xfId="0" applyFont="1" applyBorder="1"/>
    <xf numFmtId="0" fontId="2" fillId="6" borderId="12" xfId="0" applyFont="1" applyFill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 textRotation="180" wrapText="1"/>
    </xf>
    <xf numFmtId="0" fontId="2" fillId="0" borderId="21" xfId="0" applyFont="1" applyBorder="1" applyAlignment="1">
      <alignment horizontal="center"/>
    </xf>
    <xf numFmtId="0" fontId="2" fillId="4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0" xfId="0" applyFont="1" applyFill="1"/>
    <xf numFmtId="0" fontId="2" fillId="6" borderId="10" xfId="0" applyFont="1" applyFill="1" applyBorder="1"/>
    <xf numFmtId="0" fontId="2" fillId="0" borderId="25" xfId="0" applyFont="1" applyBorder="1"/>
    <xf numFmtId="0" fontId="2" fillId="0" borderId="25" xfId="0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0" fontId="9" fillId="0" borderId="0" xfId="0" applyFont="1"/>
    <xf numFmtId="168" fontId="4" fillId="0" borderId="13" xfId="0" applyNumberFormat="1" applyFont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vertical="center" textRotation="180" wrapText="1"/>
    </xf>
    <xf numFmtId="0" fontId="1" fillId="3" borderId="1" xfId="0" applyFont="1" applyFill="1" applyBorder="1" applyAlignment="1">
      <alignment horizontal="center" textRotation="180" wrapText="1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17" xfId="0" applyFont="1" applyFill="1" applyBorder="1" applyAlignment="1">
      <alignment horizontal="center" vertical="center"/>
    </xf>
    <xf numFmtId="3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 vertical="center" textRotation="180" wrapText="1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 vertical="center" textRotation="180" wrapText="1"/>
    </xf>
    <xf numFmtId="3" fontId="4" fillId="3" borderId="0" xfId="0" applyNumberFormat="1" applyFont="1" applyFill="1" applyAlignment="1">
      <alignment horizontal="center" textRotation="180" wrapText="1"/>
    </xf>
    <xf numFmtId="0" fontId="1" fillId="3" borderId="5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" fillId="0" borderId="11" xfId="0" applyFont="1" applyBorder="1"/>
    <xf numFmtId="168" fontId="1" fillId="0" borderId="9" xfId="0" applyNumberFormat="1" applyFont="1" applyBorder="1" applyAlignment="1">
      <alignment horizontal="center"/>
    </xf>
    <xf numFmtId="0" fontId="1" fillId="11" borderId="1" xfId="0" applyFont="1" applyFill="1" applyBorder="1"/>
    <xf numFmtId="0" fontId="2" fillId="0" borderId="11" xfId="0" applyFont="1" applyBorder="1"/>
    <xf numFmtId="0" fontId="1" fillId="0" borderId="27" xfId="0" applyFont="1" applyBorder="1"/>
    <xf numFmtId="168" fontId="1" fillId="0" borderId="29" xfId="0" applyNumberFormat="1" applyFont="1" applyBorder="1" applyAlignment="1">
      <alignment horizontal="center"/>
    </xf>
    <xf numFmtId="168" fontId="1" fillId="0" borderId="2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center" vertical="center" textRotation="180" wrapText="1"/>
    </xf>
    <xf numFmtId="0" fontId="3" fillId="4" borderId="4" xfId="0" applyFont="1" applyFill="1" applyBorder="1" applyAlignment="1">
      <alignment horizontal="center"/>
    </xf>
    <xf numFmtId="168" fontId="10" fillId="7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0" fillId="0" borderId="0" xfId="0" applyFont="1"/>
    <xf numFmtId="164" fontId="0" fillId="0" borderId="1" xfId="0" applyNumberForma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169" fontId="12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 vertical="center" textRotation="180" wrapText="1"/>
    </xf>
    <xf numFmtId="3" fontId="1" fillId="0" borderId="9" xfId="0" applyNumberFormat="1" applyFont="1" applyBorder="1" applyAlignment="1">
      <alignment horizontal="center" vertical="center" textRotation="180" wrapText="1"/>
    </xf>
    <xf numFmtId="3" fontId="1" fillId="0" borderId="10" xfId="0" applyNumberFormat="1" applyFont="1" applyBorder="1" applyAlignment="1">
      <alignment horizontal="center" vertical="center" textRotation="180" wrapText="1"/>
    </xf>
    <xf numFmtId="0" fontId="1" fillId="0" borderId="9" xfId="0" applyFont="1" applyBorder="1" applyAlignment="1">
      <alignment horizontal="center" vertical="center" textRotation="180" wrapText="1"/>
    </xf>
    <xf numFmtId="0" fontId="1" fillId="0" borderId="10" xfId="0" applyFont="1" applyBorder="1" applyAlignment="1">
      <alignment horizontal="center" vertical="center" textRotation="180" wrapText="1"/>
    </xf>
    <xf numFmtId="3" fontId="1" fillId="0" borderId="1" xfId="0" applyNumberFormat="1" applyFont="1" applyBorder="1" applyAlignment="1">
      <alignment horizontal="center" vertical="center" textRotation="180" wrapText="1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3" fontId="1" fillId="2" borderId="8" xfId="0" applyNumberFormat="1" applyFont="1" applyFill="1" applyBorder="1" applyAlignment="1">
      <alignment horizontal="center" vertical="center" textRotation="180" wrapText="1"/>
    </xf>
    <xf numFmtId="3" fontId="1" fillId="2" borderId="9" xfId="0" applyNumberFormat="1" applyFont="1" applyFill="1" applyBorder="1" applyAlignment="1">
      <alignment horizontal="center" vertical="center" textRotation="180" wrapText="1"/>
    </xf>
    <xf numFmtId="3" fontId="1" fillId="2" borderId="10" xfId="0" applyNumberFormat="1" applyFont="1" applyFill="1" applyBorder="1" applyAlignment="1">
      <alignment horizontal="center" vertical="center" textRotation="180" wrapText="1"/>
    </xf>
    <xf numFmtId="0" fontId="1" fillId="0" borderId="8" xfId="0" applyFont="1" applyBorder="1" applyAlignment="1">
      <alignment horizontal="center" vertical="center" textRotation="180"/>
    </xf>
    <xf numFmtId="0" fontId="1" fillId="0" borderId="9" xfId="0" applyFont="1" applyBorder="1" applyAlignment="1">
      <alignment horizontal="center" vertical="center" textRotation="180"/>
    </xf>
    <xf numFmtId="0" fontId="1" fillId="0" borderId="10" xfId="0" applyFont="1" applyBorder="1" applyAlignment="1">
      <alignment horizontal="center" vertical="center" textRotation="180"/>
    </xf>
    <xf numFmtId="3" fontId="1" fillId="2" borderId="2" xfId="0" applyNumberFormat="1" applyFont="1" applyFill="1" applyBorder="1" applyAlignment="1">
      <alignment horizontal="center" vertical="center" textRotation="180"/>
    </xf>
    <xf numFmtId="0" fontId="1" fillId="0" borderId="6" xfId="0" applyFont="1" applyBorder="1" applyAlignment="1">
      <alignment horizontal="center" vertical="center" textRotation="180"/>
    </xf>
    <xf numFmtId="3" fontId="1" fillId="2" borderId="3" xfId="0" applyNumberFormat="1" applyFont="1" applyFill="1" applyBorder="1" applyAlignment="1">
      <alignment horizontal="center" vertical="center" textRotation="180" wrapText="1"/>
    </xf>
    <xf numFmtId="3" fontId="1" fillId="2" borderId="7" xfId="0" applyNumberFormat="1" applyFont="1" applyFill="1" applyBorder="1" applyAlignment="1">
      <alignment horizontal="center" vertical="center" textRotation="180" wrapText="1"/>
    </xf>
    <xf numFmtId="3" fontId="1" fillId="2" borderId="11" xfId="0" applyNumberFormat="1" applyFont="1" applyFill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/>
    </xf>
    <xf numFmtId="0" fontId="8" fillId="8" borderId="6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textRotation="180"/>
    </xf>
    <xf numFmtId="3" fontId="1" fillId="5" borderId="1" xfId="0" applyNumberFormat="1" applyFont="1" applyFill="1" applyBorder="1" applyAlignment="1">
      <alignment horizontal="center" vertical="center" textRotation="180"/>
    </xf>
    <xf numFmtId="3" fontId="1" fillId="5" borderId="5" xfId="0" applyNumberFormat="1" applyFont="1" applyFill="1" applyBorder="1" applyAlignment="1">
      <alignment horizontal="center" vertical="center" textRotation="180"/>
    </xf>
    <xf numFmtId="3" fontId="1" fillId="2" borderId="1" xfId="0" applyNumberFormat="1" applyFont="1" applyFill="1" applyBorder="1" applyAlignment="1">
      <alignment horizontal="center" vertical="center" textRotation="180" wrapText="1"/>
    </xf>
    <xf numFmtId="3" fontId="1" fillId="2" borderId="4" xfId="0" applyNumberFormat="1" applyFont="1" applyFill="1" applyBorder="1" applyAlignment="1">
      <alignment horizontal="center" vertical="center" textRotation="180" wrapText="1"/>
    </xf>
    <xf numFmtId="0" fontId="8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10" borderId="4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 wrapText="1"/>
    </xf>
    <xf numFmtId="0" fontId="8" fillId="8" borderId="0" xfId="0" applyFont="1" applyFill="1" applyAlignment="1">
      <alignment horizontal="center" wrapText="1"/>
    </xf>
    <xf numFmtId="0" fontId="8" fillId="9" borderId="4" xfId="0" applyFont="1" applyFill="1" applyBorder="1" applyAlignment="1">
      <alignment horizontal="center" wrapText="1"/>
    </xf>
    <xf numFmtId="0" fontId="8" fillId="9" borderId="22" xfId="0" applyFont="1" applyFill="1" applyBorder="1" applyAlignment="1">
      <alignment horizontal="center" wrapText="1"/>
    </xf>
    <xf numFmtId="0" fontId="8" fillId="9" borderId="5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5" borderId="14" xfId="0" applyNumberFormat="1" applyFont="1" applyFill="1" applyBorder="1" applyAlignment="1">
      <alignment horizontal="center" vertical="center" textRotation="180"/>
    </xf>
    <xf numFmtId="3" fontId="1" fillId="5" borderId="15" xfId="0" applyNumberFormat="1" applyFont="1" applyFill="1" applyBorder="1" applyAlignment="1">
      <alignment horizontal="center" vertical="center" textRotation="180"/>
    </xf>
    <xf numFmtId="0" fontId="8" fillId="8" borderId="4" xfId="0" applyFont="1" applyFill="1" applyBorder="1" applyAlignment="1">
      <alignment horizontal="center"/>
    </xf>
    <xf numFmtId="0" fontId="8" fillId="8" borderId="22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 vertical="center" textRotation="180"/>
    </xf>
    <xf numFmtId="0" fontId="0" fillId="0" borderId="6" xfId="0" applyBorder="1" applyAlignment="1">
      <alignment horizontal="center" vertical="center" textRotation="180"/>
    </xf>
    <xf numFmtId="0" fontId="0" fillId="0" borderId="9" xfId="0" applyBorder="1" applyAlignment="1">
      <alignment horizontal="center" vertical="center" textRotation="180"/>
    </xf>
    <xf numFmtId="0" fontId="11" fillId="8" borderId="8" xfId="0" applyFont="1" applyFill="1" applyBorder="1" applyAlignment="1">
      <alignment horizontal="center" vertical="center"/>
    </xf>
    <xf numFmtId="169" fontId="12" fillId="8" borderId="8" xfId="0" applyNumberFormat="1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9" fontId="12" fillId="0" borderId="0" xfId="0" applyNumberFormat="1" applyFont="1" applyFill="1" applyBorder="1" applyAlignment="1">
      <alignment horizontal="center"/>
    </xf>
  </cellXfs>
  <cellStyles count="4">
    <cellStyle name="Comma 2" xfId="3" xr:uid="{00000000-0005-0000-0000-000000000000}"/>
    <cellStyle name="Currency 2" xfId="2" xr:uid="{00000000-0005-0000-0000-000002000000}"/>
    <cellStyle name="Normal" xfId="0" builtinId="0"/>
    <cellStyle name="Percent 2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5594-3C70-4F78-9461-9C7592F1D3B8}">
  <dimension ref="A1:U80"/>
  <sheetViews>
    <sheetView tabSelected="1" topLeftCell="A17" workbookViewId="0">
      <selection activeCell="Y58" sqref="Y58"/>
    </sheetView>
  </sheetViews>
  <sheetFormatPr baseColWidth="10" defaultColWidth="8.83203125" defaultRowHeight="13" x14ac:dyDescent="0.15"/>
  <cols>
    <col min="1" max="1" width="6.33203125" style="2" customWidth="1"/>
    <col min="2" max="3" width="6.6640625" style="2" bestFit="1" customWidth="1"/>
    <col min="4" max="4" width="3" style="1" customWidth="1"/>
    <col min="5" max="5" width="11.1640625" style="14" hidden="1" customWidth="1"/>
    <col min="6" max="7" width="8.6640625" style="2" customWidth="1"/>
    <col min="8" max="8" width="2.6640625" style="2" customWidth="1"/>
    <col min="9" max="9" width="10.1640625" style="2" customWidth="1"/>
    <col min="10" max="10" width="3.6640625" customWidth="1"/>
    <col min="11" max="13" width="6.6640625" style="2" customWidth="1"/>
    <col min="14" max="14" width="9.1640625" style="2"/>
    <col min="15" max="15" width="2.6640625" customWidth="1"/>
  </cols>
  <sheetData>
    <row r="1" spans="1:21" ht="40" customHeight="1" x14ac:dyDescent="0.2">
      <c r="A1" s="133" t="s">
        <v>34</v>
      </c>
      <c r="B1" s="133"/>
      <c r="C1" s="133"/>
      <c r="D1" s="133"/>
      <c r="E1" s="133"/>
      <c r="F1" s="133"/>
      <c r="G1" s="133"/>
      <c r="H1" s="133"/>
      <c r="I1" s="133"/>
      <c r="K1" s="148" t="s">
        <v>51</v>
      </c>
      <c r="L1" s="149"/>
      <c r="M1" s="149"/>
      <c r="N1" s="149"/>
      <c r="O1" s="149"/>
      <c r="P1" s="149"/>
      <c r="Q1" s="149"/>
    </row>
    <row r="2" spans="1:21" x14ac:dyDescent="0.15">
      <c r="A2" s="8"/>
      <c r="B2" s="9"/>
      <c r="C2" s="9"/>
      <c r="D2" s="8"/>
      <c r="E2" s="48" t="s">
        <v>26</v>
      </c>
      <c r="F2" s="3"/>
      <c r="G2" s="3"/>
    </row>
    <row r="3" spans="1:21" ht="42" x14ac:dyDescent="0.15">
      <c r="A3" s="45" t="s">
        <v>0</v>
      </c>
      <c r="E3" s="25" t="s">
        <v>27</v>
      </c>
      <c r="F3" s="134" t="s">
        <v>8</v>
      </c>
      <c r="G3" s="135"/>
      <c r="I3" s="25" t="s">
        <v>29</v>
      </c>
      <c r="K3" s="73"/>
      <c r="L3" s="73"/>
      <c r="M3" s="45" t="s">
        <v>0</v>
      </c>
      <c r="N3" s="25" t="s">
        <v>29</v>
      </c>
      <c r="P3" s="134" t="s">
        <v>8</v>
      </c>
      <c r="Q3" s="135"/>
    </row>
    <row r="5" spans="1:21" x14ac:dyDescent="0.15">
      <c r="A5" s="27"/>
      <c r="E5" s="28"/>
      <c r="F5" s="7"/>
    </row>
    <row r="7" spans="1:21" x14ac:dyDescent="0.15">
      <c r="A7" s="26"/>
      <c r="B7" s="130" t="s">
        <v>55</v>
      </c>
      <c r="E7" s="28"/>
      <c r="F7" s="136" t="s">
        <v>14</v>
      </c>
    </row>
    <row r="8" spans="1:21" ht="14" x14ac:dyDescent="0.15">
      <c r="A8" s="7">
        <v>71</v>
      </c>
      <c r="B8" s="131"/>
      <c r="C8" s="17"/>
      <c r="D8" s="4"/>
      <c r="E8" s="18">
        <v>118399</v>
      </c>
      <c r="F8" s="137"/>
      <c r="G8" s="139" t="s">
        <v>13</v>
      </c>
      <c r="I8" s="46">
        <v>124318.95000000001</v>
      </c>
      <c r="K8" s="130" t="s">
        <v>55</v>
      </c>
      <c r="M8" s="7">
        <v>71</v>
      </c>
      <c r="N8" s="66">
        <f t="shared" ref="N8:N40" si="0">I8</f>
        <v>124318.95000000001</v>
      </c>
      <c r="P8" s="154" t="s">
        <v>14</v>
      </c>
      <c r="Q8" s="152" t="s">
        <v>13</v>
      </c>
      <c r="S8" s="119">
        <v>71</v>
      </c>
      <c r="T8" s="120" t="s">
        <v>61</v>
      </c>
      <c r="U8" s="120">
        <v>9.8500999999999994</v>
      </c>
    </row>
    <row r="9" spans="1:21" ht="14" x14ac:dyDescent="0.15">
      <c r="A9" s="7">
        <v>70</v>
      </c>
      <c r="B9" s="131"/>
      <c r="C9" s="17"/>
      <c r="D9" s="4"/>
      <c r="E9" s="18">
        <v>114951</v>
      </c>
      <c r="F9" s="137"/>
      <c r="G9" s="140"/>
      <c r="I9" s="46">
        <v>120698.55</v>
      </c>
      <c r="K9" s="131"/>
      <c r="L9" s="105"/>
      <c r="M9" s="7">
        <v>70</v>
      </c>
      <c r="N9" s="66">
        <f t="shared" si="0"/>
        <v>120698.55</v>
      </c>
      <c r="P9" s="155"/>
      <c r="Q9" s="152"/>
      <c r="S9" s="119">
        <v>70</v>
      </c>
      <c r="T9" s="120">
        <v>0</v>
      </c>
      <c r="U9" s="120" t="s">
        <v>61</v>
      </c>
    </row>
    <row r="10" spans="1:21" ht="14" x14ac:dyDescent="0.15">
      <c r="A10" s="7">
        <v>69</v>
      </c>
      <c r="B10" s="132"/>
      <c r="C10" s="17"/>
      <c r="D10" s="4"/>
      <c r="E10" s="18">
        <v>111603</v>
      </c>
      <c r="F10" s="138"/>
      <c r="G10" s="140"/>
      <c r="I10" s="46">
        <v>117183.15000000001</v>
      </c>
      <c r="K10" s="131"/>
      <c r="L10" s="105"/>
      <c r="M10" s="7">
        <v>69</v>
      </c>
      <c r="N10" s="66">
        <f t="shared" si="0"/>
        <v>117183.15000000001</v>
      </c>
      <c r="P10" s="155"/>
      <c r="Q10" s="152"/>
      <c r="S10" s="119">
        <v>69</v>
      </c>
      <c r="T10" s="120" t="s">
        <v>61</v>
      </c>
      <c r="U10" s="120">
        <v>7.46</v>
      </c>
    </row>
    <row r="11" spans="1:21" ht="14" x14ac:dyDescent="0.15">
      <c r="A11" s="7">
        <v>68</v>
      </c>
      <c r="C11" s="16"/>
      <c r="D11" s="4"/>
      <c r="E11" s="18">
        <v>108353</v>
      </c>
      <c r="F11" s="12"/>
      <c r="G11" s="140"/>
      <c r="I11" s="46">
        <v>113770.65000000001</v>
      </c>
      <c r="K11" s="132"/>
      <c r="L11" s="105"/>
      <c r="M11" s="7">
        <v>68</v>
      </c>
      <c r="N11" s="66">
        <f t="shared" si="0"/>
        <v>113770.65000000001</v>
      </c>
      <c r="P11" s="155"/>
      <c r="Q11" s="152"/>
      <c r="S11" s="119">
        <v>68</v>
      </c>
      <c r="T11" s="120">
        <v>0</v>
      </c>
      <c r="U11" s="120">
        <v>5.2</v>
      </c>
    </row>
    <row r="12" spans="1:21" ht="14" x14ac:dyDescent="0.15">
      <c r="A12" s="7">
        <v>67</v>
      </c>
      <c r="C12" s="16"/>
      <c r="D12" s="4"/>
      <c r="E12" s="18">
        <v>105195</v>
      </c>
      <c r="F12" s="12"/>
      <c r="G12" s="140"/>
      <c r="I12" s="46">
        <v>110454.75</v>
      </c>
      <c r="L12" s="105"/>
      <c r="M12" s="7">
        <v>67</v>
      </c>
      <c r="N12" s="66">
        <f t="shared" si="0"/>
        <v>110454.75</v>
      </c>
      <c r="Q12" s="152"/>
      <c r="S12" s="119">
        <v>67</v>
      </c>
      <c r="T12" s="120" t="s">
        <v>61</v>
      </c>
      <c r="U12" s="120">
        <v>6.3501000000000003</v>
      </c>
    </row>
    <row r="13" spans="1:21" ht="14" x14ac:dyDescent="0.15">
      <c r="A13" s="7">
        <v>66</v>
      </c>
      <c r="C13" s="16"/>
      <c r="D13" s="4"/>
      <c r="E13" s="18">
        <v>102132</v>
      </c>
      <c r="F13" s="12"/>
      <c r="G13" s="140"/>
      <c r="I13" s="46">
        <v>107238.6</v>
      </c>
      <c r="L13" s="105"/>
      <c r="M13" s="7">
        <v>66</v>
      </c>
      <c r="N13" s="66">
        <f t="shared" si="0"/>
        <v>107238.6</v>
      </c>
      <c r="Q13" s="152"/>
      <c r="S13" s="119">
        <v>66</v>
      </c>
      <c r="T13" s="120">
        <v>5</v>
      </c>
      <c r="U13" s="120">
        <v>8.4</v>
      </c>
    </row>
    <row r="14" spans="1:21" ht="14" x14ac:dyDescent="0.15">
      <c r="A14" s="7">
        <v>65</v>
      </c>
      <c r="C14" s="16"/>
      <c r="D14" s="4"/>
      <c r="E14" s="18">
        <v>99159</v>
      </c>
      <c r="F14" s="12"/>
      <c r="G14" s="140"/>
      <c r="I14" s="46">
        <v>104116.95000000001</v>
      </c>
      <c r="L14" s="105"/>
      <c r="M14" s="7">
        <v>65</v>
      </c>
      <c r="N14" s="66">
        <f t="shared" si="0"/>
        <v>104116.95000000001</v>
      </c>
      <c r="Q14" s="152"/>
      <c r="S14" s="119">
        <v>65</v>
      </c>
      <c r="T14" s="120">
        <v>6.2</v>
      </c>
      <c r="U14" s="120">
        <v>10.5</v>
      </c>
    </row>
    <row r="15" spans="1:21" ht="14" x14ac:dyDescent="0.15">
      <c r="A15" s="7">
        <v>64</v>
      </c>
      <c r="C15" s="16"/>
      <c r="D15" s="4"/>
      <c r="E15" s="18">
        <v>96270</v>
      </c>
      <c r="F15" s="12"/>
      <c r="G15" s="140"/>
      <c r="I15" s="46">
        <v>101083.5</v>
      </c>
      <c r="L15" s="105"/>
      <c r="M15" s="7">
        <v>64</v>
      </c>
      <c r="N15" s="66">
        <f t="shared" si="0"/>
        <v>101083.5</v>
      </c>
      <c r="Q15" s="152"/>
      <c r="S15" s="119">
        <v>64</v>
      </c>
      <c r="T15" s="120" t="s">
        <v>61</v>
      </c>
      <c r="U15" s="120">
        <v>10.9</v>
      </c>
    </row>
    <row r="16" spans="1:21" ht="14" x14ac:dyDescent="0.15">
      <c r="A16" s="7">
        <v>63</v>
      </c>
      <c r="C16" s="16"/>
      <c r="D16" s="4"/>
      <c r="E16" s="18">
        <v>93466</v>
      </c>
      <c r="F16" s="12"/>
      <c r="G16" s="140"/>
      <c r="I16" s="46">
        <v>98139.3</v>
      </c>
      <c r="K16"/>
      <c r="L16" s="105"/>
      <c r="M16" s="7">
        <v>63</v>
      </c>
      <c r="N16" s="66">
        <f t="shared" si="0"/>
        <v>98139.3</v>
      </c>
      <c r="P16" s="151" t="s">
        <v>12</v>
      </c>
      <c r="Q16" s="153"/>
      <c r="S16" s="119">
        <v>63</v>
      </c>
      <c r="T16" s="120">
        <v>6.8</v>
      </c>
      <c r="U16" s="120">
        <v>12.4</v>
      </c>
    </row>
    <row r="17" spans="1:21" ht="14" x14ac:dyDescent="0.15">
      <c r="A17" s="7">
        <v>62</v>
      </c>
      <c r="C17" s="16"/>
      <c r="D17" s="4"/>
      <c r="E17" s="18">
        <v>90745</v>
      </c>
      <c r="F17" s="12"/>
      <c r="G17" s="140"/>
      <c r="I17" s="46">
        <v>95282.25</v>
      </c>
      <c r="K17" s="109"/>
      <c r="L17" s="106" t="s">
        <v>54</v>
      </c>
      <c r="M17" s="7">
        <v>62</v>
      </c>
      <c r="N17" s="66">
        <f t="shared" si="0"/>
        <v>95282.25</v>
      </c>
      <c r="P17" s="151"/>
      <c r="S17" s="119">
        <v>62</v>
      </c>
      <c r="T17" s="120">
        <v>6.4</v>
      </c>
      <c r="U17" s="120">
        <v>9.1999999999999993</v>
      </c>
    </row>
    <row r="18" spans="1:21" ht="14" x14ac:dyDescent="0.15">
      <c r="A18" s="7">
        <v>61</v>
      </c>
      <c r="C18" s="16"/>
      <c r="D18" s="4"/>
      <c r="E18" s="18">
        <v>88101</v>
      </c>
      <c r="F18" s="12"/>
      <c r="G18" s="140"/>
      <c r="I18" s="46">
        <v>92506.05</v>
      </c>
      <c r="K18" s="105"/>
      <c r="L18" s="16"/>
      <c r="M18" s="7">
        <v>61</v>
      </c>
      <c r="N18" s="66">
        <f t="shared" si="0"/>
        <v>92506.05</v>
      </c>
      <c r="P18" s="151"/>
      <c r="Q18" s="136" t="s">
        <v>9</v>
      </c>
      <c r="S18" s="119">
        <v>61</v>
      </c>
      <c r="T18" s="120" t="s">
        <v>61</v>
      </c>
      <c r="U18" s="120">
        <v>9.1501000000000001</v>
      </c>
    </row>
    <row r="19" spans="1:21" ht="14" x14ac:dyDescent="0.15">
      <c r="A19" s="7">
        <v>60</v>
      </c>
      <c r="B19" s="16"/>
      <c r="C19" s="16"/>
      <c r="D19" s="4"/>
      <c r="E19" s="18">
        <v>85535</v>
      </c>
      <c r="F19" s="142" t="s">
        <v>12</v>
      </c>
      <c r="G19" s="140"/>
      <c r="I19" s="46">
        <v>89811.75</v>
      </c>
      <c r="K19" s="105"/>
      <c r="L19" s="16"/>
      <c r="M19" s="7">
        <v>60</v>
      </c>
      <c r="N19" s="66">
        <f t="shared" si="0"/>
        <v>89811.75</v>
      </c>
      <c r="P19" s="151"/>
      <c r="Q19" s="137"/>
      <c r="S19" s="119">
        <v>60</v>
      </c>
      <c r="T19" s="120">
        <v>8.6501000000000001</v>
      </c>
      <c r="U19" s="120">
        <v>11.5</v>
      </c>
    </row>
    <row r="20" spans="1:21" ht="14" x14ac:dyDescent="0.15">
      <c r="A20" s="7">
        <v>59</v>
      </c>
      <c r="B20" s="16"/>
      <c r="C20" s="16"/>
      <c r="D20" s="4"/>
      <c r="E20" s="18">
        <v>83045</v>
      </c>
      <c r="F20" s="143"/>
      <c r="G20" s="140"/>
      <c r="I20" s="46">
        <v>87197.25</v>
      </c>
      <c r="K20" s="105"/>
      <c r="L20" s="16"/>
      <c r="M20" s="7">
        <v>59</v>
      </c>
      <c r="N20" s="66">
        <f t="shared" si="0"/>
        <v>87197.25</v>
      </c>
      <c r="P20" s="151"/>
      <c r="Q20" s="137"/>
      <c r="S20" s="119">
        <v>59</v>
      </c>
      <c r="T20" s="120">
        <v>6</v>
      </c>
      <c r="U20" s="120">
        <v>8</v>
      </c>
    </row>
    <row r="21" spans="1:21" ht="14" x14ac:dyDescent="0.15">
      <c r="A21" s="7">
        <v>58</v>
      </c>
      <c r="B21" s="16"/>
      <c r="C21" s="106" t="s">
        <v>54</v>
      </c>
      <c r="D21" s="4"/>
      <c r="E21" s="18">
        <v>80624</v>
      </c>
      <c r="F21" s="143"/>
      <c r="G21" s="141"/>
      <c r="I21" s="46">
        <v>84655.2</v>
      </c>
      <c r="K21" s="105"/>
      <c r="L21" s="16"/>
      <c r="M21" s="7">
        <v>58</v>
      </c>
      <c r="N21" s="66">
        <f t="shared" si="0"/>
        <v>84655.2</v>
      </c>
      <c r="P21" s="151"/>
      <c r="Q21" s="137"/>
      <c r="S21" s="119">
        <v>58</v>
      </c>
      <c r="T21" s="120">
        <v>8</v>
      </c>
      <c r="U21" s="120">
        <v>13.6</v>
      </c>
    </row>
    <row r="22" spans="1:21" ht="14" x14ac:dyDescent="0.15">
      <c r="A22" s="7">
        <v>57</v>
      </c>
      <c r="B22" s="16"/>
      <c r="C22" s="11"/>
      <c r="D22" s="4"/>
      <c r="E22" s="18">
        <v>78276</v>
      </c>
      <c r="F22" s="140"/>
      <c r="G22" s="26"/>
      <c r="I22" s="46">
        <v>82189.8</v>
      </c>
      <c r="K22" s="106" t="s">
        <v>53</v>
      </c>
      <c r="L22" s="55"/>
      <c r="M22" s="7">
        <v>57</v>
      </c>
      <c r="N22" s="66">
        <f t="shared" si="0"/>
        <v>82189.8</v>
      </c>
      <c r="Q22" s="137"/>
      <c r="S22" s="119">
        <v>57</v>
      </c>
      <c r="T22" s="120">
        <v>11.8</v>
      </c>
      <c r="U22" s="120">
        <v>10.3</v>
      </c>
    </row>
    <row r="23" spans="1:21" ht="14" x14ac:dyDescent="0.15">
      <c r="A23" s="7">
        <v>56</v>
      </c>
      <c r="B23" s="16"/>
      <c r="C23" s="16"/>
      <c r="D23" s="4"/>
      <c r="E23" s="18">
        <v>75995</v>
      </c>
      <c r="F23" s="140"/>
      <c r="G23" s="144" t="s">
        <v>9</v>
      </c>
      <c r="I23" s="46">
        <v>79794.75</v>
      </c>
      <c r="K23" s="56"/>
      <c r="L23" s="57"/>
      <c r="M23" s="7">
        <v>56</v>
      </c>
      <c r="N23" s="66">
        <f t="shared" si="0"/>
        <v>79794.75</v>
      </c>
      <c r="Q23" s="137"/>
      <c r="S23" s="119">
        <v>56</v>
      </c>
      <c r="T23" s="120">
        <v>19</v>
      </c>
      <c r="U23" s="120">
        <v>39.799999999999997</v>
      </c>
    </row>
    <row r="24" spans="1:21" ht="14" x14ac:dyDescent="0.15">
      <c r="A24" s="7">
        <v>55</v>
      </c>
      <c r="B24" s="16"/>
      <c r="C24" s="16"/>
      <c r="D24" s="4"/>
      <c r="E24" s="18">
        <v>73790</v>
      </c>
      <c r="F24" s="140"/>
      <c r="G24" s="145"/>
      <c r="I24" s="46">
        <v>77479.5</v>
      </c>
      <c r="K24" s="58"/>
      <c r="L24" s="57"/>
      <c r="M24" s="7">
        <v>55</v>
      </c>
      <c r="N24" s="66">
        <f t="shared" si="0"/>
        <v>77479.5</v>
      </c>
      <c r="Q24" s="137"/>
      <c r="S24" s="119">
        <v>55</v>
      </c>
      <c r="T24" s="120">
        <v>12.630100000000001</v>
      </c>
      <c r="U24" s="120">
        <v>13.1</v>
      </c>
    </row>
    <row r="25" spans="1:21" ht="14" x14ac:dyDescent="0.15">
      <c r="A25" s="1">
        <v>54</v>
      </c>
      <c r="B25" s="106" t="s">
        <v>53</v>
      </c>
      <c r="C25" s="29"/>
      <c r="D25" s="4"/>
      <c r="E25" s="18">
        <v>71646</v>
      </c>
      <c r="F25" s="141"/>
      <c r="G25" s="145"/>
      <c r="I25" s="46">
        <v>75228.3</v>
      </c>
      <c r="K25" s="98"/>
      <c r="L25" s="60"/>
      <c r="M25" s="1">
        <v>54</v>
      </c>
      <c r="N25" s="66">
        <f t="shared" si="0"/>
        <v>75228.3</v>
      </c>
      <c r="Q25" s="137"/>
      <c r="S25" s="119">
        <v>54</v>
      </c>
      <c r="T25" s="120">
        <v>21.9</v>
      </c>
      <c r="U25" s="120">
        <v>32.5</v>
      </c>
    </row>
    <row r="26" spans="1:21" ht="14" x14ac:dyDescent="0.15">
      <c r="A26" s="1">
        <v>53</v>
      </c>
      <c r="B26" s="32"/>
      <c r="C26" s="29"/>
      <c r="D26" s="4"/>
      <c r="E26" s="18">
        <v>69565</v>
      </c>
      <c r="F26" s="12"/>
      <c r="G26" s="137"/>
      <c r="I26" s="46">
        <v>73043.25</v>
      </c>
      <c r="K26" s="59"/>
      <c r="L26" s="60" t="s">
        <v>4</v>
      </c>
      <c r="M26" s="1">
        <v>53</v>
      </c>
      <c r="N26" s="66">
        <f t="shared" si="0"/>
        <v>73043.25</v>
      </c>
      <c r="P26" s="129" t="s">
        <v>10</v>
      </c>
      <c r="Q26" s="138"/>
      <c r="S26" s="119">
        <v>53</v>
      </c>
      <c r="T26" s="120" t="s">
        <v>61</v>
      </c>
      <c r="U26" s="120" t="s">
        <v>61</v>
      </c>
    </row>
    <row r="27" spans="1:21" ht="14" x14ac:dyDescent="0.15">
      <c r="A27" s="1">
        <v>52</v>
      </c>
      <c r="B27" s="32"/>
      <c r="C27" s="29"/>
      <c r="D27" s="4"/>
      <c r="E27" s="18">
        <v>67542</v>
      </c>
      <c r="F27" s="12"/>
      <c r="G27" s="137"/>
      <c r="I27" s="46">
        <v>70919.100000000006</v>
      </c>
      <c r="K27" s="59"/>
      <c r="L27" s="56"/>
      <c r="M27" s="1">
        <v>52</v>
      </c>
      <c r="N27" s="66">
        <f t="shared" si="0"/>
        <v>70919.100000000006</v>
      </c>
      <c r="P27" s="129"/>
      <c r="S27" s="119">
        <v>52</v>
      </c>
      <c r="T27" s="120">
        <v>12.9</v>
      </c>
      <c r="U27" s="120">
        <v>7.2</v>
      </c>
    </row>
    <row r="28" spans="1:21" ht="14" x14ac:dyDescent="0.15">
      <c r="A28" s="1">
        <v>51</v>
      </c>
      <c r="B28" s="32"/>
      <c r="C28" s="34"/>
      <c r="E28" s="18">
        <v>65578</v>
      </c>
      <c r="F28" s="6"/>
      <c r="G28" s="137"/>
      <c r="I28" s="46">
        <v>68857</v>
      </c>
      <c r="K28" s="59"/>
      <c r="L28" s="56"/>
      <c r="M28" s="1">
        <v>51</v>
      </c>
      <c r="N28" s="66">
        <f t="shared" si="0"/>
        <v>68857</v>
      </c>
      <c r="P28" s="129"/>
      <c r="S28" s="119">
        <v>51</v>
      </c>
      <c r="T28" s="120">
        <v>13.350099999999999</v>
      </c>
      <c r="U28" s="120">
        <v>16.5</v>
      </c>
    </row>
    <row r="29" spans="1:21" ht="14" x14ac:dyDescent="0.15">
      <c r="A29" s="1">
        <v>50</v>
      </c>
      <c r="B29" s="32"/>
      <c r="C29" s="31"/>
      <c r="E29" s="18">
        <v>63673</v>
      </c>
      <c r="F29" s="6"/>
      <c r="G29" s="137"/>
      <c r="I29" s="46">
        <v>66857</v>
      </c>
      <c r="K29" s="16"/>
      <c r="L29" s="56"/>
      <c r="M29" s="1">
        <v>50</v>
      </c>
      <c r="N29" s="66">
        <f t="shared" si="0"/>
        <v>66857</v>
      </c>
      <c r="P29" s="129"/>
      <c r="S29" s="119">
        <v>50</v>
      </c>
      <c r="T29" s="120">
        <v>43.457799999999999</v>
      </c>
      <c r="U29" s="120">
        <v>77.8</v>
      </c>
    </row>
    <row r="30" spans="1:21" ht="14" x14ac:dyDescent="0.15">
      <c r="A30" s="1">
        <v>49</v>
      </c>
      <c r="B30" s="35"/>
      <c r="C30" s="31"/>
      <c r="E30" s="18">
        <v>61823</v>
      </c>
      <c r="F30" s="124" t="s">
        <v>10</v>
      </c>
      <c r="G30" s="145"/>
      <c r="I30" s="46">
        <v>64914</v>
      </c>
      <c r="K30" s="16"/>
      <c r="L30" s="56"/>
      <c r="M30" s="1">
        <v>49</v>
      </c>
      <c r="N30" s="66">
        <f t="shared" si="0"/>
        <v>64914</v>
      </c>
      <c r="P30" s="129"/>
      <c r="S30" s="119">
        <v>49</v>
      </c>
      <c r="T30" s="120">
        <v>43.950400000000002</v>
      </c>
      <c r="U30" s="120">
        <v>47.754799999999996</v>
      </c>
    </row>
    <row r="31" spans="1:21" ht="14" x14ac:dyDescent="0.15">
      <c r="A31" s="4">
        <v>48</v>
      </c>
      <c r="B31" s="29"/>
      <c r="C31" s="33" t="s">
        <v>4</v>
      </c>
      <c r="D31" s="4"/>
      <c r="E31" s="18">
        <v>60319</v>
      </c>
      <c r="F31" s="125"/>
      <c r="G31" s="146"/>
      <c r="H31" s="5"/>
      <c r="I31" s="46">
        <v>63334.950000000004</v>
      </c>
      <c r="K31" s="55"/>
      <c r="L31" s="56"/>
      <c r="M31" s="4">
        <v>48</v>
      </c>
      <c r="N31" s="66">
        <f t="shared" si="0"/>
        <v>63334.950000000004</v>
      </c>
      <c r="P31" s="129"/>
      <c r="S31" s="119">
        <v>48</v>
      </c>
      <c r="T31" s="120">
        <v>28.8</v>
      </c>
      <c r="U31" s="120">
        <v>35.5</v>
      </c>
    </row>
    <row r="32" spans="1:21" ht="14" x14ac:dyDescent="0.15">
      <c r="A32" s="1">
        <v>47</v>
      </c>
      <c r="B32" s="29"/>
      <c r="C32" s="36"/>
      <c r="E32" s="18">
        <v>58284</v>
      </c>
      <c r="F32" s="125"/>
      <c r="G32" s="6"/>
      <c r="I32" s="46">
        <v>61198</v>
      </c>
      <c r="K32" s="55"/>
      <c r="L32" s="59"/>
      <c r="M32" s="1">
        <v>47</v>
      </c>
      <c r="N32" s="66">
        <f t="shared" si="0"/>
        <v>61198</v>
      </c>
      <c r="P32" s="129"/>
      <c r="Q32" s="129" t="s">
        <v>11</v>
      </c>
      <c r="S32" s="119">
        <v>47</v>
      </c>
      <c r="T32" s="120">
        <v>9.2901000000000007</v>
      </c>
      <c r="U32" s="120">
        <v>6</v>
      </c>
    </row>
    <row r="33" spans="1:21" ht="14" x14ac:dyDescent="0.15">
      <c r="A33" s="1">
        <v>46</v>
      </c>
      <c r="B33" s="29"/>
      <c r="C33" s="32"/>
      <c r="E33" s="18">
        <v>56592</v>
      </c>
      <c r="F33" s="125"/>
      <c r="G33" s="6"/>
      <c r="I33" s="46">
        <v>59421</v>
      </c>
      <c r="K33" s="55"/>
      <c r="L33" s="59"/>
      <c r="M33" s="1">
        <v>46</v>
      </c>
      <c r="N33" s="66">
        <f t="shared" si="0"/>
        <v>59421</v>
      </c>
      <c r="P33" s="129"/>
      <c r="Q33" s="150"/>
      <c r="S33" s="119">
        <v>46</v>
      </c>
      <c r="T33" s="120">
        <v>24.232600000000001</v>
      </c>
      <c r="U33" s="120">
        <v>16.600000000000001</v>
      </c>
    </row>
    <row r="34" spans="1:21" ht="14" x14ac:dyDescent="0.15">
      <c r="A34" s="1">
        <v>45</v>
      </c>
      <c r="B34" s="29"/>
      <c r="C34" s="32"/>
      <c r="E34" s="18">
        <v>54949</v>
      </c>
      <c r="F34" s="125"/>
      <c r="G34" s="6"/>
      <c r="I34" s="46">
        <v>57696</v>
      </c>
      <c r="K34" s="61"/>
      <c r="L34" s="59"/>
      <c r="M34" s="1">
        <v>45</v>
      </c>
      <c r="N34" s="66">
        <f t="shared" si="0"/>
        <v>57696</v>
      </c>
      <c r="P34" s="129"/>
      <c r="Q34" s="150"/>
      <c r="S34" s="119">
        <v>45</v>
      </c>
      <c r="T34" s="120">
        <v>32.5</v>
      </c>
      <c r="U34" s="120">
        <v>34.330100000000002</v>
      </c>
    </row>
    <row r="35" spans="1:21" ht="14" x14ac:dyDescent="0.15">
      <c r="A35" s="1">
        <v>44</v>
      </c>
      <c r="B35" s="30"/>
      <c r="C35" s="32"/>
      <c r="E35" s="18">
        <v>53353</v>
      </c>
      <c r="F35" s="125"/>
      <c r="G35" s="6"/>
      <c r="I35" s="46">
        <v>56021</v>
      </c>
      <c r="K35" s="61" t="s">
        <v>7</v>
      </c>
      <c r="L35" s="16"/>
      <c r="M35" s="1">
        <v>44</v>
      </c>
      <c r="N35" s="66">
        <f t="shared" si="0"/>
        <v>56021</v>
      </c>
      <c r="P35" s="129"/>
      <c r="Q35" s="150"/>
      <c r="S35" s="119">
        <v>44</v>
      </c>
      <c r="T35" s="120">
        <v>104.22139999999999</v>
      </c>
      <c r="U35" s="120">
        <v>132.15969999999999</v>
      </c>
    </row>
    <row r="36" spans="1:21" ht="14" x14ac:dyDescent="0.15">
      <c r="A36" s="1">
        <v>43</v>
      </c>
      <c r="B36" s="30"/>
      <c r="C36" s="32"/>
      <c r="E36" s="18">
        <v>51805</v>
      </c>
      <c r="F36" s="125"/>
      <c r="G36" s="6"/>
      <c r="I36" s="46">
        <v>54395</v>
      </c>
      <c r="K36" s="56"/>
      <c r="L36" s="55"/>
      <c r="M36" s="1">
        <v>43</v>
      </c>
      <c r="N36" s="66">
        <f t="shared" si="0"/>
        <v>54395</v>
      </c>
      <c r="Q36" s="150"/>
      <c r="S36" s="119">
        <v>43</v>
      </c>
      <c r="T36" s="120">
        <v>41.7</v>
      </c>
      <c r="U36" s="120">
        <v>49.1</v>
      </c>
    </row>
    <row r="37" spans="1:21" ht="14" x14ac:dyDescent="0.15">
      <c r="A37" s="1">
        <v>42</v>
      </c>
      <c r="B37" s="30"/>
      <c r="C37" s="32"/>
      <c r="E37" s="18">
        <v>50300</v>
      </c>
      <c r="F37" s="125"/>
      <c r="G37" s="6"/>
      <c r="I37" s="46">
        <v>52815</v>
      </c>
      <c r="K37" s="56"/>
      <c r="L37" s="55"/>
      <c r="M37" s="1">
        <v>42</v>
      </c>
      <c r="N37" s="66">
        <f t="shared" si="0"/>
        <v>52815</v>
      </c>
      <c r="Q37" s="150"/>
      <c r="S37" s="119">
        <v>42</v>
      </c>
      <c r="T37" s="120">
        <v>49.019199999999998</v>
      </c>
      <c r="U37" s="120">
        <v>50.6</v>
      </c>
    </row>
    <row r="38" spans="1:21" ht="14" x14ac:dyDescent="0.15">
      <c r="A38" s="1">
        <v>41</v>
      </c>
      <c r="B38" s="30"/>
      <c r="C38" s="29"/>
      <c r="E38" s="18">
        <v>48841</v>
      </c>
      <c r="F38" s="125"/>
      <c r="G38" s="129" t="s">
        <v>11</v>
      </c>
      <c r="I38" s="46">
        <v>51283</v>
      </c>
      <c r="K38" s="56"/>
      <c r="L38" s="23"/>
      <c r="M38" s="1">
        <v>41</v>
      </c>
      <c r="N38" s="66">
        <f t="shared" si="0"/>
        <v>51283</v>
      </c>
      <c r="Q38" s="150"/>
      <c r="S38" s="119">
        <v>41</v>
      </c>
      <c r="T38" s="120">
        <v>69.151499999999999</v>
      </c>
      <c r="U38" s="120">
        <v>79.8</v>
      </c>
    </row>
    <row r="39" spans="1:21" ht="14" x14ac:dyDescent="0.15">
      <c r="A39" s="1">
        <v>40</v>
      </c>
      <c r="B39" s="30"/>
      <c r="C39" s="29"/>
      <c r="E39" s="18">
        <v>47423</v>
      </c>
      <c r="F39" s="126"/>
      <c r="G39" s="147"/>
      <c r="I39" s="46">
        <v>49794</v>
      </c>
      <c r="K39" s="56"/>
      <c r="L39" s="61"/>
      <c r="M39" s="1">
        <v>40</v>
      </c>
      <c r="N39" s="66">
        <f t="shared" si="0"/>
        <v>49794</v>
      </c>
      <c r="Q39" s="150"/>
      <c r="S39" s="119">
        <v>40</v>
      </c>
      <c r="T39" s="120">
        <v>102.2542</v>
      </c>
      <c r="U39" s="120">
        <v>74.600300000000004</v>
      </c>
    </row>
    <row r="40" spans="1:21" ht="14" x14ac:dyDescent="0.15">
      <c r="A40" s="1">
        <v>39</v>
      </c>
      <c r="B40" s="37" t="s">
        <v>7</v>
      </c>
      <c r="C40" s="29"/>
      <c r="D40" s="6"/>
      <c r="E40" s="18">
        <v>46047</v>
      </c>
      <c r="F40" s="15"/>
      <c r="G40" s="147"/>
      <c r="I40" s="46">
        <v>48350</v>
      </c>
      <c r="K40" s="67"/>
      <c r="L40" s="65" t="s">
        <v>6</v>
      </c>
      <c r="M40" s="1">
        <v>39</v>
      </c>
      <c r="N40" s="66">
        <f t="shared" si="0"/>
        <v>48350</v>
      </c>
      <c r="Q40" s="150"/>
      <c r="S40" s="119">
        <v>39</v>
      </c>
      <c r="T40" s="120">
        <v>40.932899999999997</v>
      </c>
      <c r="U40" s="120">
        <v>47.6907</v>
      </c>
    </row>
    <row r="41" spans="1:21" ht="14" x14ac:dyDescent="0.15">
      <c r="A41" s="1">
        <v>38</v>
      </c>
      <c r="B41" s="32"/>
      <c r="C41" s="29"/>
      <c r="E41" s="18">
        <v>44737</v>
      </c>
      <c r="F41" s="6"/>
      <c r="G41" s="147"/>
      <c r="I41" s="46">
        <v>46974</v>
      </c>
      <c r="K41" s="59"/>
      <c r="L41" s="56"/>
      <c r="M41" s="1">
        <v>38</v>
      </c>
      <c r="N41" s="66">
        <f>I42</f>
        <v>45585</v>
      </c>
      <c r="P41" s="129" t="s">
        <v>15</v>
      </c>
      <c r="S41" s="119">
        <v>38</v>
      </c>
      <c r="T41" s="120">
        <v>39.414499999999997</v>
      </c>
      <c r="U41" s="120">
        <v>44.3</v>
      </c>
    </row>
    <row r="42" spans="1:21" ht="14" x14ac:dyDescent="0.15">
      <c r="A42" s="1">
        <v>37</v>
      </c>
      <c r="B42" s="32"/>
      <c r="C42" s="29"/>
      <c r="E42" s="18">
        <v>43414</v>
      </c>
      <c r="F42" s="6"/>
      <c r="G42" s="147"/>
      <c r="I42" s="46">
        <v>45585</v>
      </c>
      <c r="K42" s="59"/>
      <c r="L42" s="56"/>
      <c r="M42" s="1">
        <v>37</v>
      </c>
      <c r="P42" s="129"/>
      <c r="S42" s="119">
        <v>37</v>
      </c>
      <c r="T42" s="120">
        <v>244.92169999999999</v>
      </c>
      <c r="U42" s="120">
        <v>234.57769999999999</v>
      </c>
    </row>
    <row r="43" spans="1:21" ht="14" x14ac:dyDescent="0.15">
      <c r="A43" s="1">
        <v>36</v>
      </c>
      <c r="B43" s="32"/>
      <c r="C43" s="30"/>
      <c r="E43" s="18">
        <v>42155</v>
      </c>
      <c r="F43" s="6"/>
      <c r="G43" s="147"/>
      <c r="I43" s="46">
        <v>44263</v>
      </c>
      <c r="K43" s="59"/>
      <c r="L43" s="56"/>
      <c r="M43" s="1">
        <v>36</v>
      </c>
      <c r="N43" s="66">
        <f t="shared" ref="N43:N74" si="1">I43</f>
        <v>44263</v>
      </c>
      <c r="P43" s="129"/>
      <c r="Q43" s="124" t="s">
        <v>16</v>
      </c>
      <c r="S43" s="119">
        <v>36</v>
      </c>
      <c r="T43" s="120">
        <v>101.74930000000001</v>
      </c>
      <c r="U43" s="120">
        <v>73.653400000000005</v>
      </c>
    </row>
    <row r="44" spans="1:21" ht="13" customHeight="1" x14ac:dyDescent="0.15">
      <c r="A44" s="1">
        <v>35</v>
      </c>
      <c r="B44" s="32"/>
      <c r="C44" s="30"/>
      <c r="E44" s="18">
        <v>40931</v>
      </c>
      <c r="F44" s="6"/>
      <c r="G44" s="147"/>
      <c r="I44" s="46">
        <v>42978</v>
      </c>
      <c r="K44" s="59"/>
      <c r="L44" s="56"/>
      <c r="M44" s="1">
        <v>35</v>
      </c>
      <c r="N44" s="66">
        <f t="shared" si="1"/>
        <v>42978</v>
      </c>
      <c r="P44" s="129"/>
      <c r="Q44" s="125"/>
      <c r="S44" s="119">
        <v>35</v>
      </c>
      <c r="T44" s="120">
        <v>83.559100000000001</v>
      </c>
      <c r="U44" s="120">
        <v>73.347399999999993</v>
      </c>
    </row>
    <row r="45" spans="1:21" ht="14" x14ac:dyDescent="0.15">
      <c r="A45" s="1">
        <v>34</v>
      </c>
      <c r="B45" s="32"/>
      <c r="C45" s="37" t="s">
        <v>6</v>
      </c>
      <c r="E45" s="18">
        <v>39745</v>
      </c>
      <c r="F45" s="6"/>
      <c r="G45" s="147"/>
      <c r="I45" s="46">
        <v>41732</v>
      </c>
      <c r="K45" s="59"/>
      <c r="L45" s="56"/>
      <c r="M45" s="1">
        <v>34</v>
      </c>
      <c r="N45" s="66">
        <f t="shared" si="1"/>
        <v>41732</v>
      </c>
      <c r="P45" s="129"/>
      <c r="Q45" s="125"/>
      <c r="S45" s="119">
        <v>34</v>
      </c>
      <c r="T45" s="120">
        <v>354.02010000000001</v>
      </c>
      <c r="U45" s="120">
        <v>267.96359999999999</v>
      </c>
    </row>
    <row r="46" spans="1:21" ht="14" x14ac:dyDescent="0.15">
      <c r="A46" s="21">
        <v>33</v>
      </c>
      <c r="B46" s="41"/>
      <c r="C46" s="42"/>
      <c r="D46" s="21"/>
      <c r="E46" s="24">
        <v>38592</v>
      </c>
      <c r="F46" s="19" t="s">
        <v>28</v>
      </c>
      <c r="G46" s="21"/>
      <c r="H46" s="19"/>
      <c r="I46" s="47">
        <v>40521</v>
      </c>
      <c r="K46" s="64"/>
      <c r="L46" s="56"/>
      <c r="M46" s="21">
        <v>33</v>
      </c>
      <c r="N46" s="66">
        <f t="shared" si="1"/>
        <v>40521</v>
      </c>
      <c r="P46" s="129"/>
      <c r="Q46" s="125"/>
      <c r="S46" s="119"/>
      <c r="T46" s="120"/>
      <c r="U46" s="120"/>
    </row>
    <row r="47" spans="1:21" ht="14" x14ac:dyDescent="0.15">
      <c r="A47" s="21">
        <v>32</v>
      </c>
      <c r="B47" s="41"/>
      <c r="C47" s="42"/>
      <c r="D47" s="21"/>
      <c r="E47" s="24">
        <v>37474</v>
      </c>
      <c r="F47" s="19" t="s">
        <v>28</v>
      </c>
      <c r="G47" s="21"/>
      <c r="H47" s="19"/>
      <c r="I47" s="47">
        <v>39347</v>
      </c>
      <c r="K47" s="65"/>
      <c r="L47" s="62"/>
      <c r="M47" s="21">
        <v>32</v>
      </c>
      <c r="N47" s="66">
        <f t="shared" si="1"/>
        <v>39347</v>
      </c>
      <c r="P47" s="129"/>
      <c r="Q47" s="125"/>
      <c r="S47" s="119"/>
      <c r="T47" s="120"/>
      <c r="U47" s="120"/>
    </row>
    <row r="48" spans="1:21" ht="14" x14ac:dyDescent="0.15">
      <c r="A48" s="1">
        <v>31</v>
      </c>
      <c r="B48" s="29"/>
      <c r="C48" s="32"/>
      <c r="E48" s="18">
        <v>36386</v>
      </c>
      <c r="F48" s="124" t="s">
        <v>15</v>
      </c>
      <c r="G48" s="129" t="s">
        <v>16</v>
      </c>
      <c r="I48" s="46">
        <v>38205</v>
      </c>
      <c r="K48" s="64"/>
      <c r="L48" s="62"/>
      <c r="M48" s="1">
        <v>31</v>
      </c>
      <c r="N48" s="66">
        <f t="shared" si="1"/>
        <v>38205</v>
      </c>
      <c r="P48" s="129"/>
      <c r="Q48" s="126"/>
      <c r="S48" s="119">
        <v>31</v>
      </c>
      <c r="T48" s="120">
        <v>22.54</v>
      </c>
      <c r="U48" s="120">
        <v>24.122499999999999</v>
      </c>
    </row>
    <row r="49" spans="1:21" ht="14" x14ac:dyDescent="0.15">
      <c r="A49" s="1">
        <v>30</v>
      </c>
      <c r="B49" s="29"/>
      <c r="C49" s="32"/>
      <c r="E49" s="18">
        <v>35333</v>
      </c>
      <c r="F49" s="127"/>
      <c r="G49" s="129"/>
      <c r="I49" s="46">
        <v>37099</v>
      </c>
      <c r="K49" s="55"/>
      <c r="L49" s="62"/>
      <c r="M49" s="1">
        <v>30</v>
      </c>
      <c r="N49" s="66">
        <f t="shared" si="1"/>
        <v>37099</v>
      </c>
      <c r="P49" s="129"/>
      <c r="S49" s="119">
        <v>30</v>
      </c>
      <c r="T49" s="120">
        <v>16.38</v>
      </c>
      <c r="U49" s="120">
        <v>7.5</v>
      </c>
    </row>
    <row r="50" spans="1:21" ht="14" x14ac:dyDescent="0.15">
      <c r="A50" s="1">
        <v>29</v>
      </c>
      <c r="B50" s="29"/>
      <c r="C50" s="32"/>
      <c r="E50" s="18">
        <v>34308</v>
      </c>
      <c r="F50" s="127"/>
      <c r="G50" s="129"/>
      <c r="I50" s="46">
        <v>36024</v>
      </c>
      <c r="K50" s="65" t="s">
        <v>5</v>
      </c>
      <c r="M50" s="1">
        <v>29</v>
      </c>
      <c r="N50" s="66">
        <f t="shared" si="1"/>
        <v>36024</v>
      </c>
      <c r="P50" s="129"/>
      <c r="S50" s="119">
        <v>29</v>
      </c>
      <c r="T50" s="120">
        <v>29.876799999999999</v>
      </c>
      <c r="U50" s="120">
        <v>9.1999999999999993</v>
      </c>
    </row>
    <row r="51" spans="1:21" ht="14" x14ac:dyDescent="0.15">
      <c r="A51" s="1">
        <v>28</v>
      </c>
      <c r="B51" s="29"/>
      <c r="C51" s="32"/>
      <c r="E51" s="18">
        <v>33314</v>
      </c>
      <c r="F51" s="127"/>
      <c r="G51" s="129"/>
      <c r="I51" s="46">
        <v>34980</v>
      </c>
      <c r="K51" s="3"/>
      <c r="L51" s="59"/>
      <c r="M51" s="1">
        <v>28</v>
      </c>
      <c r="N51" s="66">
        <f t="shared" si="1"/>
        <v>34980</v>
      </c>
      <c r="S51" s="119">
        <v>28</v>
      </c>
      <c r="T51" s="120">
        <v>209.43639999999999</v>
      </c>
      <c r="U51" s="120">
        <v>119.3967</v>
      </c>
    </row>
    <row r="52" spans="1:21" ht="14" x14ac:dyDescent="0.15">
      <c r="A52" s="1">
        <v>27</v>
      </c>
      <c r="B52" s="30"/>
      <c r="C52" s="32"/>
      <c r="E52" s="18">
        <v>32348</v>
      </c>
      <c r="F52" s="127"/>
      <c r="G52" s="129"/>
      <c r="I52" s="46">
        <v>33966</v>
      </c>
      <c r="K52" s="3"/>
      <c r="L52" s="59"/>
      <c r="M52" s="1">
        <v>27</v>
      </c>
      <c r="N52" s="66">
        <f t="shared" si="1"/>
        <v>33966</v>
      </c>
      <c r="S52" s="119">
        <v>27</v>
      </c>
      <c r="T52" s="120">
        <v>81.137799999999999</v>
      </c>
      <c r="U52" s="120">
        <v>49.621899999999997</v>
      </c>
    </row>
    <row r="53" spans="1:21" ht="14" x14ac:dyDescent="0.15">
      <c r="A53" s="1">
        <v>26</v>
      </c>
      <c r="B53" s="30"/>
      <c r="C53" s="32"/>
      <c r="E53" s="18">
        <v>31411</v>
      </c>
      <c r="F53" s="127"/>
      <c r="G53" s="129"/>
      <c r="I53" s="46">
        <v>32982</v>
      </c>
      <c r="L53" s="59"/>
      <c r="M53" s="1">
        <v>26</v>
      </c>
      <c r="N53" s="66">
        <f t="shared" si="1"/>
        <v>32982</v>
      </c>
      <c r="S53" s="119">
        <v>26</v>
      </c>
      <c r="T53" s="120">
        <v>82.421299999999988</v>
      </c>
      <c r="U53" s="120">
        <v>50.331499999999998</v>
      </c>
    </row>
    <row r="54" spans="1:21" ht="14" x14ac:dyDescent="0.15">
      <c r="A54" s="4">
        <v>25</v>
      </c>
      <c r="B54" s="37" t="s">
        <v>5</v>
      </c>
      <c r="C54" s="40"/>
      <c r="D54" s="4"/>
      <c r="E54" s="18">
        <v>30502</v>
      </c>
      <c r="F54" s="128"/>
      <c r="G54" s="13"/>
      <c r="H54" s="5"/>
      <c r="I54" s="46">
        <v>32332</v>
      </c>
      <c r="L54" s="59"/>
      <c r="M54" s="1">
        <v>25</v>
      </c>
      <c r="N54" s="66">
        <f t="shared" si="1"/>
        <v>32332</v>
      </c>
      <c r="S54" s="119">
        <v>25</v>
      </c>
      <c r="T54" s="120">
        <v>241.99020000000002</v>
      </c>
      <c r="U54" s="120">
        <v>128.67529999999999</v>
      </c>
    </row>
    <row r="55" spans="1:21" ht="14" x14ac:dyDescent="0.15">
      <c r="A55" s="21">
        <v>24</v>
      </c>
      <c r="B55" s="41"/>
      <c r="C55" s="41"/>
      <c r="D55" s="21"/>
      <c r="E55" s="20">
        <v>29619</v>
      </c>
      <c r="F55" s="19" t="s">
        <v>28</v>
      </c>
      <c r="G55" s="43"/>
      <c r="H55" s="19"/>
      <c r="I55" s="47">
        <v>31396</v>
      </c>
      <c r="L55" s="59"/>
      <c r="M55" s="21">
        <v>24</v>
      </c>
      <c r="N55" s="66">
        <f t="shared" si="1"/>
        <v>31396</v>
      </c>
      <c r="S55" s="119"/>
      <c r="T55" s="120"/>
      <c r="U55" s="120"/>
    </row>
    <row r="56" spans="1:21" ht="14" x14ac:dyDescent="0.15">
      <c r="A56" s="21">
        <v>23</v>
      </c>
      <c r="B56" s="19"/>
      <c r="C56" s="41"/>
      <c r="D56" s="21"/>
      <c r="E56" s="20">
        <v>28762</v>
      </c>
      <c r="F56" s="19" t="s">
        <v>28</v>
      </c>
      <c r="G56" s="43"/>
      <c r="H56" s="19"/>
      <c r="I56" s="47">
        <v>30487</v>
      </c>
      <c r="L56" s="55"/>
      <c r="M56" s="21">
        <v>23</v>
      </c>
      <c r="N56" s="66">
        <f t="shared" si="1"/>
        <v>30487</v>
      </c>
      <c r="S56" s="119">
        <v>23</v>
      </c>
      <c r="T56" s="120">
        <v>2.7400000000000001E-2</v>
      </c>
      <c r="U56" s="120" t="s">
        <v>61</v>
      </c>
    </row>
    <row r="57" spans="1:21" ht="14" x14ac:dyDescent="0.15">
      <c r="A57" s="1">
        <v>22</v>
      </c>
      <c r="B57" s="32"/>
      <c r="C57" s="30"/>
      <c r="E57" s="18">
        <v>27929</v>
      </c>
      <c r="F57" s="6"/>
      <c r="G57" s="6"/>
      <c r="I57" s="46">
        <v>29605</v>
      </c>
      <c r="L57" s="55"/>
      <c r="M57" s="1">
        <v>22</v>
      </c>
      <c r="N57" s="66">
        <f t="shared" si="1"/>
        <v>29605</v>
      </c>
      <c r="S57" s="119">
        <v>22</v>
      </c>
      <c r="T57" s="120">
        <v>10.311</v>
      </c>
      <c r="U57" s="120">
        <v>18</v>
      </c>
    </row>
    <row r="58" spans="1:21" ht="14" x14ac:dyDescent="0.15">
      <c r="A58" s="1">
        <v>21</v>
      </c>
      <c r="B58" s="32"/>
      <c r="C58" s="30"/>
      <c r="E58" s="18">
        <v>27131</v>
      </c>
      <c r="F58" s="6"/>
      <c r="G58" s="6"/>
      <c r="I58" s="46">
        <v>28759</v>
      </c>
      <c r="K58" s="19"/>
      <c r="L58" s="30"/>
      <c r="M58" s="1">
        <v>21</v>
      </c>
      <c r="N58" s="66">
        <f t="shared" si="1"/>
        <v>28759</v>
      </c>
      <c r="S58" s="119">
        <v>21</v>
      </c>
      <c r="T58" s="120">
        <v>13.1753</v>
      </c>
      <c r="U58" s="120" t="s">
        <v>61</v>
      </c>
    </row>
    <row r="59" spans="1:21" ht="14" x14ac:dyDescent="0.15">
      <c r="A59" s="1">
        <v>20</v>
      </c>
      <c r="B59" s="32"/>
      <c r="C59" s="30"/>
      <c r="E59" s="18">
        <v>26396</v>
      </c>
      <c r="F59" s="6"/>
      <c r="G59" s="6"/>
      <c r="I59" s="46">
        <v>27979</v>
      </c>
      <c r="K59" s="19"/>
      <c r="L59" s="30"/>
      <c r="M59" s="1">
        <v>20</v>
      </c>
      <c r="N59" s="66">
        <f t="shared" si="1"/>
        <v>27979</v>
      </c>
      <c r="S59" s="119">
        <v>20</v>
      </c>
      <c r="T59" s="120">
        <v>125.5663</v>
      </c>
      <c r="U59" s="120">
        <v>69.108999999999995</v>
      </c>
    </row>
    <row r="60" spans="1:21" ht="14" x14ac:dyDescent="0.15">
      <c r="A60" s="1">
        <v>19</v>
      </c>
      <c r="B60" s="32"/>
      <c r="C60" s="30"/>
      <c r="E60" s="18">
        <v>25642</v>
      </c>
      <c r="F60" s="6"/>
      <c r="G60" s="6"/>
      <c r="I60" s="46">
        <v>27181</v>
      </c>
      <c r="K60" s="42"/>
      <c r="L60" s="37" t="s">
        <v>1</v>
      </c>
      <c r="M60" s="1">
        <v>19</v>
      </c>
      <c r="N60" s="66">
        <f t="shared" si="1"/>
        <v>27181</v>
      </c>
      <c r="S60" s="119">
        <v>19</v>
      </c>
      <c r="T60" s="120">
        <v>32.915100000000002</v>
      </c>
      <c r="U60" s="120">
        <v>19.0671</v>
      </c>
    </row>
    <row r="61" spans="1:21" ht="14" x14ac:dyDescent="0.15">
      <c r="A61" s="1">
        <v>18</v>
      </c>
      <c r="B61" s="39"/>
      <c r="C61" s="37" t="s">
        <v>1</v>
      </c>
      <c r="E61" s="18">
        <v>24948</v>
      </c>
      <c r="F61" s="6"/>
      <c r="G61" s="6"/>
      <c r="I61" s="46">
        <v>26444</v>
      </c>
      <c r="M61" s="21" t="s">
        <v>42</v>
      </c>
      <c r="N61" s="68">
        <f t="shared" si="1"/>
        <v>26444</v>
      </c>
      <c r="S61" s="119">
        <v>18</v>
      </c>
      <c r="T61" s="120">
        <v>322.3073</v>
      </c>
      <c r="U61" s="120">
        <v>129.14790000000002</v>
      </c>
    </row>
    <row r="62" spans="1:21" x14ac:dyDescent="0.15">
      <c r="A62" s="21"/>
      <c r="B62" s="42"/>
      <c r="C62" s="42"/>
      <c r="D62" s="21"/>
      <c r="E62" s="44"/>
      <c r="F62" s="19" t="s">
        <v>28</v>
      </c>
      <c r="G62" s="22"/>
      <c r="H62" s="19"/>
      <c r="I62" s="47">
        <v>25742</v>
      </c>
      <c r="K62" s="42"/>
      <c r="M62" s="21" t="s">
        <v>43</v>
      </c>
      <c r="N62" s="68">
        <f t="shared" si="1"/>
        <v>25742</v>
      </c>
    </row>
    <row r="63" spans="1:21" x14ac:dyDescent="0.15">
      <c r="A63" s="21"/>
      <c r="B63" s="42"/>
      <c r="C63" s="42"/>
      <c r="D63" s="21"/>
      <c r="E63" s="44"/>
      <c r="F63" s="19" t="s">
        <v>28</v>
      </c>
      <c r="G63" s="19"/>
      <c r="H63" s="19"/>
      <c r="I63" s="47">
        <v>25138</v>
      </c>
      <c r="K63" s="19"/>
      <c r="L63" s="19"/>
      <c r="M63" s="21" t="s">
        <v>44</v>
      </c>
      <c r="N63" s="68">
        <f t="shared" si="1"/>
        <v>25138</v>
      </c>
    </row>
    <row r="64" spans="1:21" ht="14" x14ac:dyDescent="0.15">
      <c r="A64" s="1" t="s">
        <v>25</v>
      </c>
      <c r="B64" s="37"/>
      <c r="C64" s="32"/>
      <c r="E64" s="18">
        <v>24587</v>
      </c>
      <c r="I64" s="110">
        <v>24587</v>
      </c>
      <c r="K64" s="37"/>
      <c r="L64" s="32"/>
      <c r="M64" s="1" t="s">
        <v>25</v>
      </c>
      <c r="N64" s="66">
        <f t="shared" si="1"/>
        <v>24587</v>
      </c>
      <c r="S64" s="119" t="s">
        <v>25</v>
      </c>
      <c r="T64" s="120">
        <v>9.6999999999999993</v>
      </c>
      <c r="U64" s="120" t="s">
        <v>61</v>
      </c>
    </row>
    <row r="65" spans="1:21" ht="14" x14ac:dyDescent="0.15">
      <c r="A65" s="1" t="s">
        <v>24</v>
      </c>
      <c r="B65" s="37"/>
      <c r="C65" s="32"/>
      <c r="E65" s="18">
        <v>24105</v>
      </c>
      <c r="I65" s="46">
        <v>24248</v>
      </c>
      <c r="K65" s="37"/>
      <c r="L65" s="32"/>
      <c r="M65" s="1" t="s">
        <v>24</v>
      </c>
      <c r="N65" s="66">
        <f t="shared" si="1"/>
        <v>24248</v>
      </c>
      <c r="S65" s="119" t="s">
        <v>24</v>
      </c>
      <c r="T65" s="120" t="s">
        <v>61</v>
      </c>
      <c r="U65" s="120" t="s">
        <v>61</v>
      </c>
    </row>
    <row r="66" spans="1:21" ht="14" x14ac:dyDescent="0.15">
      <c r="A66" s="1" t="s">
        <v>23</v>
      </c>
      <c r="B66" s="30"/>
      <c r="C66" s="32"/>
      <c r="E66" s="18">
        <v>23632</v>
      </c>
      <c r="I66" s="46">
        <v>23700</v>
      </c>
      <c r="K66" s="30"/>
      <c r="L66" s="32"/>
      <c r="M66" s="1" t="s">
        <v>23</v>
      </c>
      <c r="N66" s="66">
        <f t="shared" si="1"/>
        <v>23700</v>
      </c>
      <c r="S66" s="119" t="s">
        <v>23</v>
      </c>
      <c r="T66" s="120">
        <v>38.139600000000002</v>
      </c>
      <c r="U66" s="120">
        <v>43.219099999999997</v>
      </c>
    </row>
    <row r="67" spans="1:21" ht="14" x14ac:dyDescent="0.15">
      <c r="A67" s="1" t="s">
        <v>22</v>
      </c>
      <c r="B67" s="30"/>
      <c r="C67" s="32"/>
      <c r="E67" s="18">
        <v>23169</v>
      </c>
      <c r="I67" s="110">
        <v>23169</v>
      </c>
      <c r="K67" s="30"/>
      <c r="L67" s="32"/>
      <c r="M67" s="1" t="s">
        <v>22</v>
      </c>
      <c r="N67" s="66">
        <f t="shared" si="1"/>
        <v>23169</v>
      </c>
      <c r="S67" s="119" t="s">
        <v>22</v>
      </c>
      <c r="T67" s="120">
        <v>62.371899999999997</v>
      </c>
      <c r="U67" s="120">
        <v>48.662200000000006</v>
      </c>
    </row>
    <row r="68" spans="1:21" ht="14" x14ac:dyDescent="0.15">
      <c r="A68" s="1" t="s">
        <v>21</v>
      </c>
      <c r="B68" s="37" t="s">
        <v>2</v>
      </c>
      <c r="C68" s="39"/>
      <c r="E68" s="18">
        <v>22715</v>
      </c>
      <c r="I68" s="110">
        <v>22715</v>
      </c>
      <c r="K68" s="37" t="s">
        <v>2</v>
      </c>
      <c r="L68" s="39"/>
      <c r="M68" s="1" t="s">
        <v>21</v>
      </c>
      <c r="N68" s="66">
        <f t="shared" si="1"/>
        <v>22715</v>
      </c>
      <c r="S68" s="180" t="s">
        <v>21</v>
      </c>
      <c r="T68" s="181">
        <v>169.44279999999998</v>
      </c>
      <c r="U68" s="181">
        <v>81.4148</v>
      </c>
    </row>
    <row r="69" spans="1:21" ht="14" x14ac:dyDescent="0.15">
      <c r="A69" s="21"/>
      <c r="B69" s="42"/>
      <c r="C69" s="42"/>
      <c r="D69" s="21"/>
      <c r="E69" s="44"/>
      <c r="F69" s="19" t="s">
        <v>28</v>
      </c>
      <c r="G69" s="19"/>
      <c r="H69" s="19"/>
      <c r="I69" s="47">
        <v>22214</v>
      </c>
      <c r="K69" s="42"/>
      <c r="L69" s="42"/>
      <c r="M69" s="21" t="s">
        <v>45</v>
      </c>
      <c r="N69" s="66">
        <f t="shared" si="1"/>
        <v>22214</v>
      </c>
      <c r="S69" s="184"/>
      <c r="T69" s="185"/>
      <c r="U69" s="185"/>
    </row>
    <row r="70" spans="1:21" ht="14" x14ac:dyDescent="0.15">
      <c r="A70" s="21"/>
      <c r="B70" s="42"/>
      <c r="C70" s="42"/>
      <c r="D70" s="21"/>
      <c r="E70" s="44"/>
      <c r="F70" s="19" t="s">
        <v>28</v>
      </c>
      <c r="G70" s="19"/>
      <c r="H70" s="19"/>
      <c r="I70" s="47">
        <v>21828</v>
      </c>
      <c r="K70" s="19"/>
      <c r="L70" s="19"/>
      <c r="M70" s="21" t="s">
        <v>46</v>
      </c>
      <c r="N70" s="66">
        <f t="shared" si="1"/>
        <v>21828</v>
      </c>
      <c r="S70" s="184"/>
      <c r="T70" s="185"/>
      <c r="U70" s="185"/>
    </row>
    <row r="71" spans="1:21" ht="14" x14ac:dyDescent="0.15">
      <c r="A71" s="1" t="s">
        <v>20</v>
      </c>
      <c r="B71" s="32"/>
      <c r="C71" s="10"/>
      <c r="E71" s="18">
        <v>21633</v>
      </c>
      <c r="I71" s="110">
        <v>21633</v>
      </c>
      <c r="K71" s="32"/>
      <c r="L71" s="10"/>
      <c r="M71" s="1" t="s">
        <v>20</v>
      </c>
      <c r="N71" s="66">
        <f t="shared" si="1"/>
        <v>21633</v>
      </c>
      <c r="S71" s="182" t="s">
        <v>20</v>
      </c>
      <c r="T71" s="183">
        <v>0</v>
      </c>
      <c r="U71" s="183">
        <v>0</v>
      </c>
    </row>
    <row r="72" spans="1:21" ht="14" x14ac:dyDescent="0.15">
      <c r="A72" s="1" t="s">
        <v>19</v>
      </c>
      <c r="B72" s="39"/>
      <c r="C72" s="10"/>
      <c r="E72" s="18">
        <v>21313</v>
      </c>
      <c r="I72" s="110">
        <v>21313</v>
      </c>
      <c r="K72" s="39"/>
      <c r="L72" s="10"/>
      <c r="M72" s="1" t="s">
        <v>19</v>
      </c>
      <c r="N72" s="66">
        <f t="shared" si="1"/>
        <v>21313</v>
      </c>
      <c r="S72" s="119" t="s">
        <v>19</v>
      </c>
      <c r="T72" s="120">
        <v>78.883099999999999</v>
      </c>
      <c r="U72" s="120">
        <v>63.263199999999998</v>
      </c>
    </row>
    <row r="73" spans="1:21" ht="14" x14ac:dyDescent="0.15">
      <c r="A73" s="1" t="s">
        <v>18</v>
      </c>
      <c r="B73" s="32"/>
      <c r="C73" s="30"/>
      <c r="E73" s="18">
        <v>20998</v>
      </c>
      <c r="I73" s="110">
        <v>20998</v>
      </c>
      <c r="K73" s="32"/>
      <c r="L73" s="30"/>
      <c r="M73" s="1" t="s">
        <v>18</v>
      </c>
      <c r="N73" s="66">
        <f t="shared" si="1"/>
        <v>20998</v>
      </c>
      <c r="S73" s="119" t="s">
        <v>18</v>
      </c>
      <c r="T73" s="120">
        <v>20.4819</v>
      </c>
      <c r="U73" s="120">
        <v>10.988099999999999</v>
      </c>
    </row>
    <row r="74" spans="1:21" ht="14" x14ac:dyDescent="0.15">
      <c r="A74" s="1" t="s">
        <v>17</v>
      </c>
      <c r="B74" s="39"/>
      <c r="C74" s="37" t="s">
        <v>3</v>
      </c>
      <c r="E74" s="18">
        <v>20688</v>
      </c>
      <c r="I74" s="46">
        <v>20880</v>
      </c>
      <c r="K74" s="39"/>
      <c r="L74" s="37" t="s">
        <v>3</v>
      </c>
      <c r="M74" s="1" t="s">
        <v>17</v>
      </c>
      <c r="N74" s="66">
        <f t="shared" si="1"/>
        <v>20880</v>
      </c>
      <c r="S74" s="119" t="s">
        <v>17</v>
      </c>
      <c r="T74" s="120">
        <v>15.7325</v>
      </c>
      <c r="U74" s="120">
        <v>19.110499999999998</v>
      </c>
    </row>
    <row r="75" spans="1:21" x14ac:dyDescent="0.15">
      <c r="E75" s="2"/>
      <c r="F75" s="19" t="s">
        <v>28</v>
      </c>
      <c r="I75" s="47">
        <v>20619</v>
      </c>
      <c r="M75" s="21" t="s">
        <v>47</v>
      </c>
    </row>
    <row r="76" spans="1:21" x14ac:dyDescent="0.15">
      <c r="F76" s="19" t="s">
        <v>28</v>
      </c>
      <c r="I76" s="47">
        <v>20410</v>
      </c>
      <c r="M76" s="21" t="s">
        <v>48</v>
      </c>
    </row>
    <row r="79" spans="1:21" x14ac:dyDescent="0.15">
      <c r="M79" s="1"/>
    </row>
    <row r="80" spans="1:21" x14ac:dyDescent="0.15">
      <c r="M80" s="1"/>
      <c r="N80" s="14"/>
    </row>
  </sheetData>
  <sortState xmlns:xlrd2="http://schemas.microsoft.com/office/spreadsheetml/2017/richdata2" ref="S64:U74">
    <sortCondition descending="1" ref="S64:S74"/>
  </sortState>
  <mergeCells count="22">
    <mergeCell ref="Q32:Q40"/>
    <mergeCell ref="P26:P35"/>
    <mergeCell ref="Q18:Q26"/>
    <mergeCell ref="P16:P21"/>
    <mergeCell ref="Q8:Q16"/>
    <mergeCell ref="P8:P11"/>
    <mergeCell ref="Q43:Q48"/>
    <mergeCell ref="F48:F54"/>
    <mergeCell ref="G48:G53"/>
    <mergeCell ref="K8:K11"/>
    <mergeCell ref="A1:I1"/>
    <mergeCell ref="F3:G3"/>
    <mergeCell ref="B7:B10"/>
    <mergeCell ref="F7:F10"/>
    <mergeCell ref="G8:G21"/>
    <mergeCell ref="F19:F25"/>
    <mergeCell ref="G23:G31"/>
    <mergeCell ref="F30:F39"/>
    <mergeCell ref="G38:G45"/>
    <mergeCell ref="K1:Q1"/>
    <mergeCell ref="P3:Q3"/>
    <mergeCell ref="P41:P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035A-6E47-49CA-9318-E7CEC96777FB}">
  <dimension ref="A1:AC17"/>
  <sheetViews>
    <sheetView workbookViewId="0">
      <selection activeCell="A18" sqref="A18"/>
    </sheetView>
  </sheetViews>
  <sheetFormatPr baseColWidth="10" defaultColWidth="8.83203125" defaultRowHeight="13" x14ac:dyDescent="0.15"/>
  <cols>
    <col min="1" max="1" width="6.6640625" customWidth="1"/>
    <col min="2" max="3" width="5.6640625" customWidth="1"/>
    <col min="4" max="4" width="2.6640625" customWidth="1"/>
    <col min="7" max="7" width="2.6640625" customWidth="1"/>
    <col min="8" max="9" width="5.6640625" customWidth="1"/>
    <col min="10" max="10" width="12.33203125" bestFit="1" customWidth="1"/>
    <col min="12" max="12" width="2.6640625" customWidth="1"/>
    <col min="13" max="13" width="9.33203125" bestFit="1" customWidth="1"/>
    <col min="16" max="16" width="8.6640625" style="102"/>
    <col min="17" max="17" width="5.6640625" customWidth="1"/>
    <col min="18" max="18" width="2.6640625" customWidth="1"/>
    <col min="20" max="20" width="2.6640625" customWidth="1"/>
    <col min="22" max="22" width="2.6640625" customWidth="1"/>
    <col min="23" max="23" width="31.6640625" bestFit="1" customWidth="1"/>
    <col min="24" max="24" width="2.6640625" customWidth="1"/>
    <col min="25" max="25" width="8.5" style="102" bestFit="1" customWidth="1"/>
    <col min="26" max="26" width="2.6640625" customWidth="1"/>
    <col min="27" max="27" width="31.6640625" bestFit="1" customWidth="1"/>
  </cols>
  <sheetData>
    <row r="1" spans="1:29" ht="42" customHeight="1" x14ac:dyDescent="0.2">
      <c r="A1" s="133" t="s">
        <v>34</v>
      </c>
      <c r="B1" s="133"/>
      <c r="C1" s="133"/>
      <c r="D1" s="133"/>
      <c r="E1" s="133"/>
      <c r="F1" s="133"/>
      <c r="G1" s="2"/>
      <c r="H1" s="156" t="s">
        <v>51</v>
      </c>
      <c r="I1" s="156"/>
      <c r="J1" s="156"/>
      <c r="K1" s="156"/>
      <c r="L1" s="156"/>
      <c r="M1" s="156"/>
      <c r="N1" s="156"/>
      <c r="O1" s="118"/>
      <c r="P1" s="157" t="s">
        <v>60</v>
      </c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</row>
    <row r="2" spans="1:29" x14ac:dyDescent="0.15">
      <c r="A2" s="8"/>
      <c r="B2" s="9"/>
      <c r="C2" s="9"/>
      <c r="D2" s="8"/>
      <c r="E2" s="2"/>
      <c r="F2" s="2"/>
      <c r="G2" s="2"/>
      <c r="H2" s="2"/>
      <c r="I2" s="2"/>
      <c r="J2" s="2"/>
      <c r="K2" s="2"/>
      <c r="L2" s="2"/>
      <c r="M2" s="2"/>
    </row>
    <row r="3" spans="1:29" ht="58" customHeight="1" x14ac:dyDescent="0.15">
      <c r="A3" s="45" t="s">
        <v>0</v>
      </c>
      <c r="B3" s="2"/>
      <c r="C3" s="2"/>
      <c r="D3" s="1"/>
      <c r="E3" s="2"/>
      <c r="F3" s="25" t="s">
        <v>29</v>
      </c>
      <c r="G3" s="2"/>
      <c r="H3" s="73"/>
      <c r="I3" s="73"/>
      <c r="J3" s="45" t="s">
        <v>0</v>
      </c>
      <c r="K3" s="25" t="s">
        <v>29</v>
      </c>
      <c r="L3" s="2"/>
      <c r="M3" s="72" t="s">
        <v>35</v>
      </c>
      <c r="N3" s="72" t="s">
        <v>36</v>
      </c>
      <c r="P3" s="45" t="s">
        <v>0</v>
      </c>
      <c r="S3" s="117" t="s">
        <v>27</v>
      </c>
      <c r="T3" s="111"/>
      <c r="U3" s="117" t="s">
        <v>56</v>
      </c>
      <c r="V3" s="111"/>
      <c r="W3" s="117" t="s">
        <v>57</v>
      </c>
      <c r="X3" s="111"/>
      <c r="Y3" s="117" t="s">
        <v>29</v>
      </c>
      <c r="Z3" s="111"/>
      <c r="AA3" s="117" t="s">
        <v>57</v>
      </c>
      <c r="AB3" s="111"/>
      <c r="AC3" s="111"/>
    </row>
    <row r="4" spans="1:29" x14ac:dyDescent="0.15">
      <c r="A4" s="2"/>
      <c r="B4" s="2"/>
      <c r="C4" s="2"/>
      <c r="D4" s="1"/>
      <c r="E4" s="2"/>
      <c r="F4" s="2"/>
      <c r="G4" s="2"/>
      <c r="H4" s="2"/>
      <c r="I4" s="2"/>
      <c r="J4" s="2"/>
      <c r="K4" s="2"/>
      <c r="L4" s="2"/>
      <c r="M4" s="71"/>
    </row>
    <row r="5" spans="1:29" x14ac:dyDescent="0.15">
      <c r="A5" s="1" t="s">
        <v>25</v>
      </c>
      <c r="B5" s="37"/>
      <c r="C5" s="32"/>
      <c r="D5" s="1"/>
      <c r="E5" s="2"/>
      <c r="F5" s="110">
        <v>24587</v>
      </c>
      <c r="G5" s="2"/>
      <c r="H5" s="37"/>
      <c r="I5" s="32"/>
      <c r="J5" s="1" t="s">
        <v>25</v>
      </c>
      <c r="K5" s="66">
        <f t="shared" ref="K5:K15" si="0">F5</f>
        <v>24587</v>
      </c>
      <c r="L5" s="2"/>
      <c r="M5" s="69" t="s">
        <v>52</v>
      </c>
      <c r="P5" s="102" t="s">
        <v>25</v>
      </c>
      <c r="Q5" s="37"/>
      <c r="S5" s="113">
        <v>24587</v>
      </c>
      <c r="U5" s="113">
        <v>24587</v>
      </c>
      <c r="W5" s="116" t="s">
        <v>58</v>
      </c>
      <c r="Y5" s="114">
        <v>24587</v>
      </c>
      <c r="Z5" s="112"/>
      <c r="AA5" s="115" t="s">
        <v>58</v>
      </c>
    </row>
    <row r="6" spans="1:29" x14ac:dyDescent="0.15">
      <c r="A6" s="1" t="s">
        <v>24</v>
      </c>
      <c r="B6" s="37"/>
      <c r="C6" s="32"/>
      <c r="D6" s="1"/>
      <c r="E6" s="2"/>
      <c r="F6" s="46">
        <v>24248</v>
      </c>
      <c r="G6" s="2"/>
      <c r="H6" s="37"/>
      <c r="I6" s="32"/>
      <c r="J6" s="1" t="s">
        <v>24</v>
      </c>
      <c r="K6" s="66">
        <f t="shared" si="0"/>
        <v>24248</v>
      </c>
      <c r="L6" s="2"/>
      <c r="M6" s="69" t="s">
        <v>52</v>
      </c>
      <c r="P6" s="102" t="s">
        <v>24</v>
      </c>
      <c r="Q6" s="37"/>
      <c r="S6" s="113">
        <v>24105</v>
      </c>
      <c r="U6" s="113">
        <v>24105</v>
      </c>
      <c r="W6" s="116" t="s">
        <v>58</v>
      </c>
      <c r="Y6" s="113">
        <v>24248</v>
      </c>
      <c r="AA6" s="116" t="s">
        <v>59</v>
      </c>
    </row>
    <row r="7" spans="1:29" x14ac:dyDescent="0.15">
      <c r="A7" s="1" t="s">
        <v>23</v>
      </c>
      <c r="B7" s="30"/>
      <c r="C7" s="32"/>
      <c r="D7" s="1"/>
      <c r="E7" s="2"/>
      <c r="F7" s="46">
        <v>23700</v>
      </c>
      <c r="G7" s="2"/>
      <c r="H7" s="30"/>
      <c r="I7" s="32"/>
      <c r="J7" s="1" t="s">
        <v>23</v>
      </c>
      <c r="K7" s="66">
        <f t="shared" si="0"/>
        <v>23700</v>
      </c>
      <c r="L7" s="2"/>
      <c r="M7" s="69" t="s">
        <v>52</v>
      </c>
      <c r="P7" s="102" t="s">
        <v>23</v>
      </c>
      <c r="Q7" s="30"/>
      <c r="S7" s="113">
        <v>23632</v>
      </c>
      <c r="U7" s="113">
        <v>23632</v>
      </c>
      <c r="W7" s="116" t="s">
        <v>58</v>
      </c>
      <c r="Y7" s="113">
        <v>23700</v>
      </c>
      <c r="AA7" s="116" t="s">
        <v>59</v>
      </c>
    </row>
    <row r="8" spans="1:29" x14ac:dyDescent="0.15">
      <c r="A8" s="1" t="s">
        <v>22</v>
      </c>
      <c r="B8" s="30"/>
      <c r="C8" s="32"/>
      <c r="D8" s="1"/>
      <c r="E8" s="2"/>
      <c r="F8" s="110">
        <v>23169</v>
      </c>
      <c r="G8" s="2"/>
      <c r="H8" s="30"/>
      <c r="I8" s="32"/>
      <c r="J8" s="1" t="s">
        <v>22</v>
      </c>
      <c r="K8" s="66">
        <f t="shared" si="0"/>
        <v>23169</v>
      </c>
      <c r="L8" s="2"/>
      <c r="M8" s="69" t="s">
        <v>52</v>
      </c>
      <c r="P8" s="102" t="s">
        <v>22</v>
      </c>
      <c r="Q8" s="30"/>
      <c r="S8" s="113">
        <v>23169</v>
      </c>
      <c r="U8" s="113">
        <v>23169</v>
      </c>
      <c r="W8" s="116" t="s">
        <v>58</v>
      </c>
      <c r="Y8" s="114">
        <v>23169</v>
      </c>
      <c r="Z8" s="112"/>
      <c r="AA8" s="115" t="s">
        <v>58</v>
      </c>
    </row>
    <row r="9" spans="1:29" x14ac:dyDescent="0.15">
      <c r="A9" s="1" t="s">
        <v>21</v>
      </c>
      <c r="B9" s="37" t="s">
        <v>2</v>
      </c>
      <c r="C9" s="39"/>
      <c r="D9" s="1"/>
      <c r="E9" s="2"/>
      <c r="F9" s="110">
        <v>22715</v>
      </c>
      <c r="G9" s="2"/>
      <c r="H9" s="37" t="s">
        <v>2</v>
      </c>
      <c r="I9" s="39"/>
      <c r="J9" s="1" t="s">
        <v>21</v>
      </c>
      <c r="K9" s="66">
        <f t="shared" si="0"/>
        <v>22715</v>
      </c>
      <c r="L9" s="2"/>
      <c r="M9" s="69" t="s">
        <v>52</v>
      </c>
      <c r="P9" s="102" t="s">
        <v>21</v>
      </c>
      <c r="Q9" s="37" t="s">
        <v>2</v>
      </c>
      <c r="S9" s="113">
        <v>22715</v>
      </c>
      <c r="U9" s="113">
        <v>22715</v>
      </c>
      <c r="W9" s="116" t="s">
        <v>58</v>
      </c>
      <c r="Y9" s="114">
        <v>22715</v>
      </c>
      <c r="Z9" s="112"/>
      <c r="AA9" s="115" t="s">
        <v>58</v>
      </c>
    </row>
    <row r="10" spans="1:29" x14ac:dyDescent="0.15">
      <c r="A10" s="21"/>
      <c r="B10" s="42"/>
      <c r="C10" s="42"/>
      <c r="D10" s="21"/>
      <c r="E10" s="19" t="s">
        <v>28</v>
      </c>
      <c r="F10" s="47">
        <v>22214</v>
      </c>
      <c r="G10" s="19"/>
      <c r="H10" s="42"/>
      <c r="I10" s="42"/>
      <c r="J10" s="21" t="s">
        <v>45</v>
      </c>
      <c r="K10" s="66">
        <f t="shared" si="0"/>
        <v>22214</v>
      </c>
      <c r="L10" s="19"/>
      <c r="M10" s="69"/>
    </row>
    <row r="11" spans="1:29" x14ac:dyDescent="0.15">
      <c r="A11" s="21"/>
      <c r="B11" s="42"/>
      <c r="C11" s="42"/>
      <c r="D11" s="21"/>
      <c r="E11" s="19" t="s">
        <v>28</v>
      </c>
      <c r="F11" s="47">
        <v>21828</v>
      </c>
      <c r="G11" s="19"/>
      <c r="H11" s="19"/>
      <c r="I11" s="19"/>
      <c r="J11" s="21" t="s">
        <v>46</v>
      </c>
      <c r="K11" s="66">
        <f t="shared" si="0"/>
        <v>21828</v>
      </c>
      <c r="L11" s="19"/>
      <c r="M11" s="69"/>
    </row>
    <row r="12" spans="1:29" x14ac:dyDescent="0.15">
      <c r="A12" s="1" t="s">
        <v>20</v>
      </c>
      <c r="B12" s="32"/>
      <c r="C12" s="10"/>
      <c r="D12" s="1"/>
      <c r="E12" s="2"/>
      <c r="F12" s="110">
        <v>21633</v>
      </c>
      <c r="G12" s="2"/>
      <c r="H12" s="32"/>
      <c r="I12" s="10"/>
      <c r="J12" s="1" t="s">
        <v>20</v>
      </c>
      <c r="K12" s="66">
        <f t="shared" si="0"/>
        <v>21633</v>
      </c>
      <c r="L12" s="2"/>
      <c r="M12" s="69" t="s">
        <v>52</v>
      </c>
      <c r="P12" s="102" t="s">
        <v>20</v>
      </c>
      <c r="Q12" s="10"/>
      <c r="S12" s="113">
        <v>21633</v>
      </c>
      <c r="U12" s="113">
        <v>21633</v>
      </c>
      <c r="W12" s="116" t="s">
        <v>58</v>
      </c>
      <c r="Y12" s="114">
        <v>21633</v>
      </c>
      <c r="Z12" s="112"/>
      <c r="AA12" s="115" t="s">
        <v>58</v>
      </c>
    </row>
    <row r="13" spans="1:29" x14ac:dyDescent="0.15">
      <c r="A13" s="1" t="s">
        <v>19</v>
      </c>
      <c r="B13" s="39"/>
      <c r="C13" s="10"/>
      <c r="D13" s="1"/>
      <c r="E13" s="2"/>
      <c r="F13" s="110">
        <v>21313</v>
      </c>
      <c r="G13" s="2"/>
      <c r="H13" s="39"/>
      <c r="I13" s="10"/>
      <c r="J13" s="1" t="s">
        <v>19</v>
      </c>
      <c r="K13" s="66">
        <f t="shared" si="0"/>
        <v>21313</v>
      </c>
      <c r="L13" s="2"/>
      <c r="M13" s="69" t="s">
        <v>52</v>
      </c>
      <c r="P13" s="102" t="s">
        <v>19</v>
      </c>
      <c r="Q13" s="10"/>
      <c r="S13" s="113">
        <v>21313</v>
      </c>
      <c r="U13" s="113">
        <v>21313</v>
      </c>
      <c r="W13" s="116" t="s">
        <v>58</v>
      </c>
      <c r="Y13" s="114">
        <v>21313</v>
      </c>
      <c r="Z13" s="112"/>
      <c r="AA13" s="115" t="s">
        <v>58</v>
      </c>
    </row>
    <row r="14" spans="1:29" x14ac:dyDescent="0.15">
      <c r="A14" s="1" t="s">
        <v>18</v>
      </c>
      <c r="B14" s="32"/>
      <c r="C14" s="30"/>
      <c r="D14" s="1"/>
      <c r="E14" s="2"/>
      <c r="F14" s="110">
        <v>20998</v>
      </c>
      <c r="G14" s="2"/>
      <c r="H14" s="32"/>
      <c r="I14" s="30"/>
      <c r="J14" s="1" t="s">
        <v>18</v>
      </c>
      <c r="K14" s="66">
        <f t="shared" si="0"/>
        <v>20998</v>
      </c>
      <c r="L14" s="2"/>
      <c r="M14" s="69" t="s">
        <v>52</v>
      </c>
      <c r="P14" s="102" t="s">
        <v>18</v>
      </c>
      <c r="Q14" s="30"/>
      <c r="S14" s="113">
        <v>20998</v>
      </c>
      <c r="U14" s="113">
        <v>20998</v>
      </c>
      <c r="W14" s="116" t="s">
        <v>58</v>
      </c>
      <c r="Y14" s="114">
        <v>20998</v>
      </c>
      <c r="Z14" s="112"/>
      <c r="AA14" s="115" t="s">
        <v>58</v>
      </c>
    </row>
    <row r="15" spans="1:29" x14ac:dyDescent="0.15">
      <c r="A15" s="1" t="s">
        <v>17</v>
      </c>
      <c r="B15" s="39"/>
      <c r="C15" s="37" t="s">
        <v>3</v>
      </c>
      <c r="D15" s="1"/>
      <c r="E15" s="2"/>
      <c r="F15" s="46">
        <v>20880</v>
      </c>
      <c r="G15" s="2"/>
      <c r="H15" s="39"/>
      <c r="I15" s="37" t="s">
        <v>3</v>
      </c>
      <c r="J15" s="1" t="s">
        <v>17</v>
      </c>
      <c r="K15" s="66">
        <f t="shared" si="0"/>
        <v>20880</v>
      </c>
      <c r="L15" s="2"/>
      <c r="M15" s="69" t="s">
        <v>52</v>
      </c>
      <c r="P15" s="102" t="s">
        <v>17</v>
      </c>
      <c r="Q15" s="37" t="s">
        <v>3</v>
      </c>
      <c r="S15" s="113">
        <v>20688</v>
      </c>
      <c r="U15" s="113">
        <v>20688</v>
      </c>
      <c r="W15" s="116" t="s">
        <v>58</v>
      </c>
      <c r="Y15" s="113">
        <v>20880</v>
      </c>
      <c r="AA15" s="116" t="s">
        <v>59</v>
      </c>
    </row>
    <row r="16" spans="1:29" x14ac:dyDescent="0.15">
      <c r="A16" s="2"/>
      <c r="B16" s="2"/>
      <c r="C16" s="2"/>
      <c r="D16" s="1"/>
      <c r="E16" s="19" t="s">
        <v>28</v>
      </c>
      <c r="F16" s="47">
        <v>20619</v>
      </c>
      <c r="G16" s="2"/>
      <c r="H16" s="2"/>
      <c r="I16" s="2"/>
      <c r="J16" s="21" t="s">
        <v>47</v>
      </c>
      <c r="K16" s="2"/>
      <c r="L16" s="2"/>
      <c r="M16" s="2"/>
    </row>
    <row r="17" spans="1:13" x14ac:dyDescent="0.15">
      <c r="A17" s="2"/>
      <c r="B17" s="2"/>
      <c r="C17" s="2"/>
      <c r="D17" s="1"/>
      <c r="E17" s="19" t="s">
        <v>28</v>
      </c>
      <c r="F17" s="47">
        <v>20410</v>
      </c>
      <c r="G17" s="2"/>
      <c r="H17" s="2"/>
      <c r="I17" s="2"/>
      <c r="J17" s="21" t="s">
        <v>48</v>
      </c>
      <c r="K17" s="2"/>
      <c r="L17" s="2"/>
      <c r="M17" s="2"/>
    </row>
  </sheetData>
  <mergeCells count="3">
    <mergeCell ref="A1:F1"/>
    <mergeCell ref="H1:N1"/>
    <mergeCell ref="P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ACDC-7F70-4E4D-A335-287F9AFE761E}">
  <dimension ref="A1:M16"/>
  <sheetViews>
    <sheetView workbookViewId="0">
      <selection activeCell="G16" sqref="G16"/>
    </sheetView>
  </sheetViews>
  <sheetFormatPr baseColWidth="10" defaultColWidth="8.83203125" defaultRowHeight="13" x14ac:dyDescent="0.15"/>
  <cols>
    <col min="2" max="2" width="2.6640625" customWidth="1"/>
    <col min="3" max="3" width="5.6640625" customWidth="1"/>
    <col min="4" max="4" width="2.6640625" customWidth="1"/>
    <col min="6" max="6" width="2.6640625" customWidth="1"/>
    <col min="7" max="7" width="6" bestFit="1" customWidth="1"/>
    <col min="8" max="8" width="12.33203125" bestFit="1" customWidth="1"/>
    <col min="10" max="10" width="2.6640625" customWidth="1"/>
    <col min="11" max="12" width="5.6640625" customWidth="1"/>
    <col min="13" max="13" width="5.6640625" style="102" customWidth="1"/>
  </cols>
  <sheetData>
    <row r="1" spans="1:13" ht="34" customHeight="1" x14ac:dyDescent="0.2">
      <c r="A1" s="133" t="s">
        <v>34</v>
      </c>
      <c r="B1" s="133"/>
      <c r="C1" s="133"/>
      <c r="D1" s="133"/>
      <c r="E1" s="160" t="s">
        <v>51</v>
      </c>
      <c r="F1" s="161"/>
      <c r="G1" s="161"/>
      <c r="H1" s="161"/>
      <c r="I1" s="161"/>
      <c r="J1" s="161"/>
      <c r="K1" s="161"/>
      <c r="L1" s="161"/>
    </row>
    <row r="2" spans="1:13" x14ac:dyDescent="0.15">
      <c r="A2" s="27"/>
      <c r="B2" s="2"/>
      <c r="C2" s="2"/>
      <c r="D2" s="1"/>
      <c r="E2" s="2"/>
      <c r="F2" s="2"/>
      <c r="G2" s="2"/>
      <c r="H2" s="2"/>
      <c r="I2" s="2"/>
      <c r="J2" s="2"/>
      <c r="K2" s="1"/>
      <c r="L2" s="1"/>
    </row>
    <row r="3" spans="1:13" ht="59" customHeight="1" x14ac:dyDescent="0.15">
      <c r="A3" s="45" t="s">
        <v>0</v>
      </c>
      <c r="B3" s="2"/>
      <c r="C3" s="2"/>
      <c r="D3" s="1"/>
      <c r="E3" s="25" t="s">
        <v>29</v>
      </c>
      <c r="F3" s="73"/>
      <c r="G3" s="45" t="s">
        <v>0</v>
      </c>
      <c r="I3" s="25" t="s">
        <v>29</v>
      </c>
      <c r="J3" s="28"/>
      <c r="K3" s="72" t="s">
        <v>35</v>
      </c>
      <c r="L3" s="72" t="s">
        <v>36</v>
      </c>
    </row>
    <row r="4" spans="1:13" x14ac:dyDescent="0.15">
      <c r="A4" s="36"/>
      <c r="B4" s="2"/>
      <c r="C4" s="2"/>
      <c r="D4" s="1"/>
      <c r="E4" s="28"/>
      <c r="F4" s="73"/>
      <c r="G4" s="36"/>
      <c r="I4" s="28"/>
      <c r="J4" s="28"/>
    </row>
    <row r="5" spans="1:13" x14ac:dyDescent="0.15">
      <c r="A5" s="36"/>
      <c r="B5" s="2"/>
      <c r="C5" s="2"/>
      <c r="D5" s="1"/>
      <c r="E5" s="28"/>
      <c r="F5" s="73"/>
      <c r="G5" s="36"/>
      <c r="I5" s="28"/>
      <c r="J5" s="28"/>
      <c r="K5" s="158" t="s">
        <v>38</v>
      </c>
      <c r="L5" s="159"/>
    </row>
    <row r="6" spans="1:13" x14ac:dyDescent="0.15">
      <c r="A6" s="36"/>
      <c r="B6" s="2"/>
      <c r="C6" s="2"/>
      <c r="D6" s="1"/>
      <c r="E6" s="28"/>
      <c r="F6" s="73"/>
      <c r="G6" s="59"/>
      <c r="H6" s="1">
        <v>28</v>
      </c>
      <c r="I6" s="66">
        <v>34980</v>
      </c>
      <c r="J6" s="28"/>
    </row>
    <row r="7" spans="1:13" x14ac:dyDescent="0.15">
      <c r="A7" s="36"/>
      <c r="B7" s="2"/>
      <c r="C7" s="2"/>
      <c r="D7" s="1"/>
      <c r="E7" s="28"/>
      <c r="F7" s="73"/>
      <c r="G7" s="59"/>
      <c r="H7" s="1">
        <v>27</v>
      </c>
      <c r="I7" s="66">
        <v>33966</v>
      </c>
      <c r="J7" s="28"/>
    </row>
    <row r="8" spans="1:13" x14ac:dyDescent="0.15">
      <c r="A8" s="36"/>
      <c r="B8" s="2"/>
      <c r="C8" s="2"/>
      <c r="D8" s="1"/>
      <c r="E8" s="28"/>
      <c r="F8" s="73"/>
      <c r="G8" s="59"/>
      <c r="H8" s="1">
        <v>26</v>
      </c>
      <c r="I8" s="66">
        <v>32982</v>
      </c>
      <c r="J8" s="28"/>
    </row>
    <row r="9" spans="1:13" x14ac:dyDescent="0.15">
      <c r="A9" s="36"/>
      <c r="B9" s="2"/>
      <c r="C9" s="2"/>
      <c r="D9" s="1"/>
      <c r="E9" s="28"/>
      <c r="F9" s="73"/>
      <c r="G9" s="59"/>
      <c r="H9" s="1">
        <v>25</v>
      </c>
      <c r="I9" s="66">
        <v>32332</v>
      </c>
      <c r="J9" s="28"/>
    </row>
    <row r="10" spans="1:13" x14ac:dyDescent="0.15">
      <c r="A10" s="36"/>
      <c r="B10" s="2"/>
      <c r="C10" s="2"/>
      <c r="D10" s="1"/>
      <c r="E10" s="28"/>
      <c r="F10" s="73"/>
      <c r="G10" s="59"/>
      <c r="H10" s="21">
        <v>24</v>
      </c>
      <c r="I10" s="66">
        <v>31396</v>
      </c>
      <c r="J10" s="28"/>
    </row>
    <row r="11" spans="1:13" x14ac:dyDescent="0.15">
      <c r="G11" s="55"/>
      <c r="H11" s="21">
        <v>23</v>
      </c>
      <c r="I11" s="66">
        <v>30487</v>
      </c>
    </row>
    <row r="12" spans="1:13" x14ac:dyDescent="0.15">
      <c r="A12" s="1">
        <v>22</v>
      </c>
      <c r="B12" s="32"/>
      <c r="C12" s="30"/>
      <c r="D12" s="1"/>
      <c r="E12" s="46">
        <v>29605</v>
      </c>
      <c r="F12" s="2"/>
      <c r="G12" s="55"/>
      <c r="H12" s="1">
        <v>22</v>
      </c>
      <c r="I12" s="66">
        <v>29605</v>
      </c>
      <c r="J12" s="2"/>
      <c r="K12" s="75">
        <v>22</v>
      </c>
      <c r="L12" s="76">
        <v>25</v>
      </c>
      <c r="M12" s="102" t="str">
        <f>CONCATENATE("+",(L12-K12))</f>
        <v>+3</v>
      </c>
    </row>
    <row r="13" spans="1:13" x14ac:dyDescent="0.15">
      <c r="A13" s="1">
        <v>21</v>
      </c>
      <c r="B13" s="32"/>
      <c r="C13" s="30"/>
      <c r="D13" s="1"/>
      <c r="E13" s="46">
        <v>28759</v>
      </c>
      <c r="F13" s="2"/>
      <c r="G13" s="30"/>
      <c r="H13" s="1">
        <v>21</v>
      </c>
      <c r="I13" s="66">
        <v>28759</v>
      </c>
      <c r="J13" s="2"/>
      <c r="K13" s="76">
        <v>21</v>
      </c>
      <c r="L13" s="76">
        <v>24</v>
      </c>
      <c r="M13" s="102" t="str">
        <f>CONCATENATE("+",(L13-K13))</f>
        <v>+3</v>
      </c>
    </row>
    <row r="14" spans="1:13" x14ac:dyDescent="0.15">
      <c r="A14" s="1">
        <v>20</v>
      </c>
      <c r="B14" s="32"/>
      <c r="C14" s="30"/>
      <c r="D14" s="1"/>
      <c r="E14" s="46">
        <v>27979</v>
      </c>
      <c r="F14" s="2"/>
      <c r="G14" s="30"/>
      <c r="H14" s="1">
        <v>20</v>
      </c>
      <c r="I14" s="66">
        <v>27979</v>
      </c>
      <c r="J14" s="2"/>
      <c r="K14" s="76">
        <v>20</v>
      </c>
      <c r="L14" s="76">
        <v>23</v>
      </c>
      <c r="M14" s="102" t="str">
        <f>CONCATENATE("+",(L14-K14))</f>
        <v>+3</v>
      </c>
    </row>
    <row r="15" spans="1:13" x14ac:dyDescent="0.15">
      <c r="A15" s="1">
        <v>19</v>
      </c>
      <c r="B15" s="32"/>
      <c r="C15" s="30"/>
      <c r="D15" s="1"/>
      <c r="E15" s="46">
        <v>27181</v>
      </c>
      <c r="F15" s="2"/>
      <c r="G15" s="37" t="s">
        <v>1</v>
      </c>
      <c r="H15" s="1">
        <v>19</v>
      </c>
      <c r="I15" s="66">
        <v>27181</v>
      </c>
      <c r="J15" s="2"/>
      <c r="K15" s="76">
        <v>19</v>
      </c>
      <c r="L15" s="76">
        <v>22</v>
      </c>
      <c r="M15" s="102" t="str">
        <f>CONCATENATE("+",(L15-K15))</f>
        <v>+3</v>
      </c>
    </row>
    <row r="16" spans="1:13" x14ac:dyDescent="0.15">
      <c r="A16" s="1">
        <v>18</v>
      </c>
      <c r="B16" s="39"/>
      <c r="C16" s="37" t="s">
        <v>1</v>
      </c>
      <c r="D16" s="1"/>
      <c r="E16" s="46">
        <v>26444</v>
      </c>
      <c r="F16" s="2"/>
      <c r="G16" s="2"/>
      <c r="H16" s="21" t="s">
        <v>42</v>
      </c>
      <c r="I16" s="68">
        <f>E16</f>
        <v>26444</v>
      </c>
      <c r="J16" s="2"/>
      <c r="K16" s="76">
        <v>18</v>
      </c>
      <c r="L16" s="76">
        <v>21</v>
      </c>
      <c r="M16" s="102" t="str">
        <f>CONCATENATE("+",(L16-K16))</f>
        <v>+3</v>
      </c>
    </row>
  </sheetData>
  <mergeCells count="3">
    <mergeCell ref="A1:D1"/>
    <mergeCell ref="K5:L5"/>
    <mergeCell ref="E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5FB4-0FF9-4FBB-A583-080768854E39}">
  <dimension ref="A1:N18"/>
  <sheetViews>
    <sheetView workbookViewId="0">
      <selection activeCell="G11" sqref="G11"/>
    </sheetView>
  </sheetViews>
  <sheetFormatPr baseColWidth="10" defaultColWidth="8.83203125" defaultRowHeight="13" x14ac:dyDescent="0.15"/>
  <cols>
    <col min="1" max="1" width="6" bestFit="1" customWidth="1"/>
    <col min="2" max="2" width="5.6640625" customWidth="1"/>
    <col min="4" max="4" width="2.6640625" customWidth="1"/>
    <col min="5" max="5" width="5.6640625" customWidth="1"/>
    <col min="6" max="6" width="6" bestFit="1" customWidth="1"/>
    <col min="8" max="8" width="2.6640625" customWidth="1"/>
    <col min="10" max="10" width="2.6640625" customWidth="1"/>
    <col min="11" max="12" width="5.5" bestFit="1" customWidth="1"/>
  </cols>
  <sheetData>
    <row r="1" spans="1:14" ht="34" customHeight="1" x14ac:dyDescent="0.2">
      <c r="A1" s="162" t="s">
        <v>34</v>
      </c>
      <c r="B1" s="163"/>
      <c r="C1" s="164"/>
      <c r="E1" s="165" t="s">
        <v>51</v>
      </c>
      <c r="F1" s="165"/>
      <c r="G1" s="165"/>
      <c r="H1" s="165"/>
      <c r="I1" s="165"/>
      <c r="J1" s="165"/>
      <c r="K1" s="165"/>
      <c r="L1" s="165"/>
    </row>
    <row r="2" spans="1:14" x14ac:dyDescent="0.15">
      <c r="A2" s="27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4" ht="58" customHeight="1" x14ac:dyDescent="0.15">
      <c r="A3" s="45" t="s">
        <v>0</v>
      </c>
      <c r="B3" s="2"/>
      <c r="C3" s="25" t="s">
        <v>29</v>
      </c>
      <c r="D3" s="73"/>
      <c r="E3" s="73"/>
      <c r="F3" s="45" t="s">
        <v>0</v>
      </c>
      <c r="G3" s="25" t="s">
        <v>29</v>
      </c>
      <c r="H3" s="28"/>
      <c r="I3" s="28"/>
      <c r="K3" s="72" t="s">
        <v>35</v>
      </c>
      <c r="L3" s="72" t="s">
        <v>36</v>
      </c>
    </row>
    <row r="4" spans="1:14" x14ac:dyDescent="0.15">
      <c r="A4" s="27"/>
      <c r="B4" s="2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4" ht="13" customHeight="1" x14ac:dyDescent="0.15">
      <c r="A5" s="1">
        <v>38</v>
      </c>
      <c r="B5" s="32"/>
      <c r="C5" s="46">
        <v>46974</v>
      </c>
      <c r="D5" s="2"/>
      <c r="E5" s="59"/>
      <c r="F5" s="1">
        <v>38</v>
      </c>
      <c r="G5" s="66">
        <f t="shared" ref="G5:G18" si="0">C5</f>
        <v>46974</v>
      </c>
      <c r="H5" s="69"/>
      <c r="I5" s="129" t="s">
        <v>15</v>
      </c>
      <c r="J5" s="2"/>
      <c r="K5" s="74"/>
      <c r="L5" s="74"/>
    </row>
    <row r="6" spans="1:14" x14ac:dyDescent="0.15">
      <c r="A6" s="1">
        <v>37</v>
      </c>
      <c r="B6" s="32"/>
      <c r="C6" s="46">
        <v>45585</v>
      </c>
      <c r="D6" s="2"/>
      <c r="E6" s="59"/>
      <c r="F6" s="1">
        <v>37</v>
      </c>
      <c r="G6" s="66">
        <f t="shared" si="0"/>
        <v>45585</v>
      </c>
      <c r="H6" s="69"/>
      <c r="I6" s="129"/>
      <c r="J6" s="2"/>
      <c r="K6" s="1"/>
      <c r="L6" s="1"/>
    </row>
    <row r="7" spans="1:14" x14ac:dyDescent="0.15">
      <c r="A7" s="1">
        <v>36</v>
      </c>
      <c r="B7" s="32"/>
      <c r="C7" s="46">
        <v>44263</v>
      </c>
      <c r="D7" s="2"/>
      <c r="E7" s="59"/>
      <c r="F7" s="1">
        <v>36</v>
      </c>
      <c r="G7" s="66">
        <f t="shared" si="0"/>
        <v>44263</v>
      </c>
      <c r="H7" s="69"/>
      <c r="I7" s="129"/>
      <c r="J7" s="2"/>
      <c r="K7" s="1"/>
      <c r="L7" s="1"/>
      <c r="N7" s="129" t="s">
        <v>16</v>
      </c>
    </row>
    <row r="8" spans="1:14" x14ac:dyDescent="0.15">
      <c r="A8" s="1">
        <v>35</v>
      </c>
      <c r="B8" s="32"/>
      <c r="C8" s="46">
        <v>42978</v>
      </c>
      <c r="D8" s="2"/>
      <c r="E8" s="59"/>
      <c r="F8" s="1">
        <v>35</v>
      </c>
      <c r="G8" s="66">
        <f t="shared" si="0"/>
        <v>42978</v>
      </c>
      <c r="H8" s="69"/>
      <c r="I8" s="129"/>
      <c r="J8" s="2"/>
      <c r="N8" s="129"/>
    </row>
    <row r="9" spans="1:14" x14ac:dyDescent="0.15">
      <c r="A9" s="1">
        <v>34</v>
      </c>
      <c r="B9" s="32"/>
      <c r="C9" s="46">
        <v>41732</v>
      </c>
      <c r="D9" s="2"/>
      <c r="E9" s="59"/>
      <c r="F9" s="1">
        <v>34</v>
      </c>
      <c r="G9" s="66">
        <f t="shared" si="0"/>
        <v>41732</v>
      </c>
      <c r="H9" s="69"/>
      <c r="I9" s="129"/>
      <c r="J9" s="2"/>
      <c r="N9" s="129"/>
    </row>
    <row r="10" spans="1:14" x14ac:dyDescent="0.15">
      <c r="A10" s="21">
        <v>33</v>
      </c>
      <c r="B10" s="41"/>
      <c r="C10" s="47">
        <v>40521</v>
      </c>
      <c r="D10" s="19"/>
      <c r="E10" s="64"/>
      <c r="F10" s="21">
        <v>33</v>
      </c>
      <c r="G10" s="66">
        <f t="shared" si="0"/>
        <v>40521</v>
      </c>
      <c r="H10" s="69"/>
      <c r="I10" s="129"/>
      <c r="J10" s="19"/>
      <c r="N10" s="129"/>
    </row>
    <row r="11" spans="1:14" x14ac:dyDescent="0.15">
      <c r="A11" s="21">
        <v>32</v>
      </c>
      <c r="B11" s="41"/>
      <c r="C11" s="47">
        <v>39347</v>
      </c>
      <c r="D11" s="19"/>
      <c r="E11" s="65"/>
      <c r="F11" s="21">
        <v>32</v>
      </c>
      <c r="G11" s="66">
        <f t="shared" si="0"/>
        <v>39347</v>
      </c>
      <c r="H11" s="69"/>
      <c r="I11" s="129"/>
      <c r="J11" s="19"/>
      <c r="K11" s="166" t="s">
        <v>37</v>
      </c>
      <c r="L11" s="166"/>
      <c r="N11" s="129"/>
    </row>
    <row r="12" spans="1:14" x14ac:dyDescent="0.15">
      <c r="A12" s="1">
        <v>31</v>
      </c>
      <c r="B12" s="29"/>
      <c r="C12" s="46">
        <v>38205</v>
      </c>
      <c r="D12" s="2"/>
      <c r="E12" s="64"/>
      <c r="F12" s="1">
        <v>31</v>
      </c>
      <c r="G12" s="66">
        <f t="shared" si="0"/>
        <v>38205</v>
      </c>
      <c r="H12" s="69"/>
      <c r="I12" s="129"/>
      <c r="J12" s="2"/>
      <c r="K12" s="76">
        <v>31</v>
      </c>
      <c r="L12" s="76">
        <v>32</v>
      </c>
      <c r="M12" s="102" t="str">
        <f t="shared" ref="M12:M18" si="1">CONCATENATE("+",(L12-K12))</f>
        <v>+1</v>
      </c>
      <c r="N12" s="129"/>
    </row>
    <row r="13" spans="1:14" x14ac:dyDescent="0.15">
      <c r="A13" s="1">
        <v>30</v>
      </c>
      <c r="B13" s="29"/>
      <c r="C13" s="46">
        <v>37099</v>
      </c>
      <c r="D13" s="2"/>
      <c r="E13" s="55"/>
      <c r="F13" s="1">
        <v>30</v>
      </c>
      <c r="G13" s="66">
        <f t="shared" si="0"/>
        <v>37099</v>
      </c>
      <c r="H13" s="69"/>
      <c r="I13" s="129"/>
      <c r="J13" s="2"/>
      <c r="K13" s="76">
        <v>30</v>
      </c>
      <c r="L13" s="76">
        <v>31</v>
      </c>
      <c r="M13" s="102" t="str">
        <f t="shared" si="1"/>
        <v>+1</v>
      </c>
    </row>
    <row r="14" spans="1:14" x14ac:dyDescent="0.15">
      <c r="A14" s="1">
        <v>29</v>
      </c>
      <c r="B14" s="29"/>
      <c r="C14" s="46">
        <v>36024</v>
      </c>
      <c r="D14" s="2"/>
      <c r="E14" s="65" t="s">
        <v>5</v>
      </c>
      <c r="F14" s="1">
        <v>29</v>
      </c>
      <c r="G14" s="66">
        <f t="shared" si="0"/>
        <v>36024</v>
      </c>
      <c r="H14" s="69"/>
      <c r="I14" s="129"/>
      <c r="J14" s="2"/>
      <c r="K14" s="76">
        <v>29</v>
      </c>
      <c r="L14" s="76">
        <v>30</v>
      </c>
      <c r="M14" s="102" t="str">
        <f t="shared" si="1"/>
        <v>+1</v>
      </c>
    </row>
    <row r="15" spans="1:14" x14ac:dyDescent="0.15">
      <c r="A15" s="1">
        <v>28</v>
      </c>
      <c r="B15" s="29"/>
      <c r="C15" s="46">
        <v>34980</v>
      </c>
      <c r="D15" s="2"/>
      <c r="E15" s="3"/>
      <c r="F15" s="1">
        <v>28</v>
      </c>
      <c r="G15" s="66">
        <f t="shared" si="0"/>
        <v>34980</v>
      </c>
      <c r="H15" s="69"/>
      <c r="I15" s="15"/>
      <c r="J15" s="2"/>
      <c r="K15" s="76">
        <v>28</v>
      </c>
      <c r="L15" s="76">
        <v>29</v>
      </c>
      <c r="M15" s="102" t="str">
        <f t="shared" si="1"/>
        <v>+1</v>
      </c>
    </row>
    <row r="16" spans="1:14" x14ac:dyDescent="0.15">
      <c r="A16" s="1">
        <v>27</v>
      </c>
      <c r="B16" s="30"/>
      <c r="C16" s="46">
        <v>33966</v>
      </c>
      <c r="D16" s="2"/>
      <c r="E16" s="3"/>
      <c r="F16" s="1">
        <v>27</v>
      </c>
      <c r="G16" s="66">
        <f t="shared" si="0"/>
        <v>33966</v>
      </c>
      <c r="H16" s="69"/>
      <c r="I16" s="15"/>
      <c r="J16" s="2"/>
      <c r="K16" s="76">
        <v>27</v>
      </c>
      <c r="L16" s="76">
        <v>29</v>
      </c>
      <c r="M16" s="102" t="str">
        <f t="shared" si="1"/>
        <v>+2</v>
      </c>
    </row>
    <row r="17" spans="1:13" x14ac:dyDescent="0.15">
      <c r="A17" s="1">
        <v>26</v>
      </c>
      <c r="B17" s="30"/>
      <c r="C17" s="46">
        <v>32982</v>
      </c>
      <c r="D17" s="2"/>
      <c r="E17" s="2"/>
      <c r="F17" s="1">
        <v>26</v>
      </c>
      <c r="G17" s="66">
        <f t="shared" si="0"/>
        <v>32982</v>
      </c>
      <c r="H17" s="69"/>
      <c r="I17" s="15"/>
      <c r="J17" s="2"/>
      <c r="K17" s="103">
        <v>26</v>
      </c>
      <c r="L17" s="76">
        <v>29</v>
      </c>
      <c r="M17" s="102" t="str">
        <f t="shared" si="1"/>
        <v>+3</v>
      </c>
    </row>
    <row r="18" spans="1:13" x14ac:dyDescent="0.15">
      <c r="A18" s="4">
        <v>25</v>
      </c>
      <c r="B18" s="37" t="s">
        <v>5</v>
      </c>
      <c r="C18" s="46">
        <v>32332</v>
      </c>
      <c r="D18" s="5"/>
      <c r="E18" s="2"/>
      <c r="F18" s="1">
        <v>25</v>
      </c>
      <c r="G18" s="66">
        <f t="shared" si="0"/>
        <v>32332</v>
      </c>
      <c r="H18" s="69"/>
      <c r="I18" s="15"/>
      <c r="J18" s="5"/>
      <c r="K18" s="103">
        <v>25</v>
      </c>
      <c r="L18" s="38">
        <v>29</v>
      </c>
      <c r="M18" s="102" t="str">
        <f t="shared" si="1"/>
        <v>+4</v>
      </c>
    </row>
  </sheetData>
  <mergeCells count="5">
    <mergeCell ref="A1:C1"/>
    <mergeCell ref="E1:L1"/>
    <mergeCell ref="K11:L11"/>
    <mergeCell ref="I5:I14"/>
    <mergeCell ref="N7:N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1106-436B-4E3D-B008-604BB3135249}">
  <dimension ref="A1:M19"/>
  <sheetViews>
    <sheetView workbookViewId="0">
      <selection activeCell="G10" sqref="G10"/>
    </sheetView>
  </sheetViews>
  <sheetFormatPr baseColWidth="10" defaultColWidth="8.83203125" defaultRowHeight="13" x14ac:dyDescent="0.15"/>
  <cols>
    <col min="1" max="1" width="6" bestFit="1" customWidth="1"/>
    <col min="2" max="2" width="5.6640625" customWidth="1"/>
    <col min="4" max="4" width="2.6640625" customWidth="1"/>
    <col min="5" max="6" width="6" bestFit="1" customWidth="1"/>
    <col min="8" max="8" width="2.6640625" customWidth="1"/>
    <col min="9" max="9" width="7.33203125" customWidth="1"/>
    <col min="10" max="10" width="2.6640625" customWidth="1"/>
    <col min="11" max="13" width="5.6640625" customWidth="1"/>
  </cols>
  <sheetData>
    <row r="1" spans="1:13" ht="34" customHeight="1" x14ac:dyDescent="0.2">
      <c r="A1" s="162" t="s">
        <v>34</v>
      </c>
      <c r="B1" s="163"/>
      <c r="C1" s="164"/>
      <c r="E1" s="165" t="s">
        <v>51</v>
      </c>
      <c r="F1" s="165"/>
      <c r="G1" s="165"/>
      <c r="H1" s="165"/>
      <c r="I1" s="165"/>
      <c r="J1" s="165"/>
      <c r="K1" s="165"/>
      <c r="L1" s="165"/>
    </row>
    <row r="2" spans="1:13" x14ac:dyDescent="0.15">
      <c r="A2" s="27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 ht="58" customHeight="1" x14ac:dyDescent="0.15">
      <c r="A3" s="45" t="s">
        <v>0</v>
      </c>
      <c r="B3" s="1"/>
      <c r="C3" s="25" t="s">
        <v>29</v>
      </c>
      <c r="D3" s="73"/>
      <c r="E3" s="1"/>
      <c r="F3" s="45" t="s">
        <v>0</v>
      </c>
      <c r="G3" s="25" t="s">
        <v>29</v>
      </c>
      <c r="H3" s="28"/>
      <c r="I3" s="28"/>
      <c r="J3" s="28"/>
      <c r="K3" s="72" t="s">
        <v>35</v>
      </c>
      <c r="L3" s="72" t="s">
        <v>36</v>
      </c>
    </row>
    <row r="4" spans="1:13" x14ac:dyDescent="0.15">
      <c r="A4" s="27"/>
      <c r="B4" s="1"/>
      <c r="C4" s="2"/>
      <c r="D4" s="2"/>
      <c r="E4" s="2"/>
      <c r="F4" s="2"/>
      <c r="G4" s="2"/>
      <c r="H4" s="2"/>
      <c r="I4" s="2"/>
      <c r="J4" s="2"/>
    </row>
    <row r="5" spans="1:13" x14ac:dyDescent="0.15">
      <c r="A5" s="27"/>
      <c r="B5" s="1"/>
      <c r="C5" s="2"/>
      <c r="D5" s="2"/>
      <c r="E5" s="2"/>
      <c r="F5" s="2"/>
      <c r="G5" s="2"/>
      <c r="H5" s="2"/>
      <c r="I5" s="2"/>
      <c r="J5" s="2"/>
    </row>
    <row r="6" spans="1:13" x14ac:dyDescent="0.15">
      <c r="A6" s="1"/>
      <c r="B6" s="1"/>
      <c r="D6" s="2"/>
      <c r="E6" s="59"/>
      <c r="F6" s="1">
        <v>47</v>
      </c>
      <c r="G6" s="46">
        <v>61198</v>
      </c>
      <c r="H6" s="2"/>
      <c r="I6" s="129" t="s">
        <v>11</v>
      </c>
      <c r="J6" s="2"/>
    </row>
    <row r="7" spans="1:13" x14ac:dyDescent="0.15">
      <c r="A7" s="1"/>
      <c r="B7" s="1"/>
      <c r="D7" s="2"/>
      <c r="E7" s="59"/>
      <c r="F7" s="1">
        <v>46</v>
      </c>
      <c r="G7" s="46">
        <v>59421</v>
      </c>
      <c r="H7" s="2"/>
      <c r="I7" s="150"/>
      <c r="J7" s="2"/>
    </row>
    <row r="8" spans="1:13" x14ac:dyDescent="0.15">
      <c r="A8" s="1"/>
      <c r="B8" s="1"/>
      <c r="D8" s="2"/>
      <c r="E8" s="59"/>
      <c r="F8" s="1">
        <v>45</v>
      </c>
      <c r="G8" s="46">
        <v>57696</v>
      </c>
      <c r="H8" s="2"/>
      <c r="I8" s="150"/>
      <c r="J8" s="2"/>
    </row>
    <row r="9" spans="1:13" x14ac:dyDescent="0.15">
      <c r="A9" s="1"/>
      <c r="B9" s="1"/>
      <c r="D9" s="2"/>
      <c r="E9" s="16"/>
      <c r="F9" s="1">
        <v>44</v>
      </c>
      <c r="G9" s="46">
        <v>56021</v>
      </c>
      <c r="H9" s="2"/>
      <c r="I9" s="150"/>
      <c r="J9" s="2"/>
    </row>
    <row r="10" spans="1:13" x14ac:dyDescent="0.15">
      <c r="A10" s="1"/>
      <c r="B10" s="1"/>
      <c r="D10" s="2"/>
      <c r="E10" s="55"/>
      <c r="F10" s="1">
        <v>43</v>
      </c>
      <c r="G10" s="46">
        <v>54395</v>
      </c>
      <c r="H10" s="2"/>
      <c r="I10" s="150"/>
      <c r="J10" s="2"/>
    </row>
    <row r="11" spans="1:13" x14ac:dyDescent="0.15">
      <c r="D11" s="2"/>
      <c r="E11" s="55"/>
      <c r="F11" s="1">
        <v>42</v>
      </c>
      <c r="G11" s="46">
        <v>52815</v>
      </c>
      <c r="H11" s="2"/>
      <c r="I11" s="150"/>
      <c r="J11" s="2"/>
      <c r="K11" s="158" t="s">
        <v>30</v>
      </c>
      <c r="L11" s="159"/>
    </row>
    <row r="12" spans="1:13" x14ac:dyDescent="0.15">
      <c r="A12" s="1">
        <v>41</v>
      </c>
      <c r="B12" s="29"/>
      <c r="C12" s="46">
        <v>51283</v>
      </c>
      <c r="D12" s="2"/>
      <c r="E12" s="23"/>
      <c r="F12" s="1">
        <v>41</v>
      </c>
      <c r="G12" s="46">
        <v>51283</v>
      </c>
      <c r="H12" s="2"/>
      <c r="I12" s="150"/>
      <c r="J12" s="2"/>
      <c r="K12" s="76">
        <v>41</v>
      </c>
      <c r="L12" s="76">
        <v>43</v>
      </c>
      <c r="M12" s="102" t="str">
        <f t="shared" ref="M12:M19" si="0">CONCATENATE("+",(L12-K12))</f>
        <v>+2</v>
      </c>
    </row>
    <row r="13" spans="1:13" x14ac:dyDescent="0.15">
      <c r="A13" s="1">
        <v>40</v>
      </c>
      <c r="B13" s="29"/>
      <c r="C13" s="46">
        <v>49794</v>
      </c>
      <c r="D13" s="2"/>
      <c r="E13" s="61"/>
      <c r="F13" s="1">
        <v>40</v>
      </c>
      <c r="G13" s="46">
        <v>49794</v>
      </c>
      <c r="H13" s="2"/>
      <c r="I13" s="150"/>
      <c r="J13" s="2"/>
      <c r="K13" s="76">
        <v>40</v>
      </c>
      <c r="L13" s="76">
        <v>42</v>
      </c>
      <c r="M13" s="102" t="str">
        <f t="shared" si="0"/>
        <v>+2</v>
      </c>
    </row>
    <row r="14" spans="1:13" x14ac:dyDescent="0.15">
      <c r="A14" s="1">
        <v>39</v>
      </c>
      <c r="B14" s="29"/>
      <c r="C14" s="46">
        <v>48350</v>
      </c>
      <c r="D14" s="2"/>
      <c r="E14" s="65" t="s">
        <v>6</v>
      </c>
      <c r="F14" s="1">
        <v>39</v>
      </c>
      <c r="G14" s="46">
        <v>48350</v>
      </c>
      <c r="H14" s="2"/>
      <c r="I14" s="150"/>
      <c r="J14" s="2"/>
      <c r="K14" s="76">
        <v>39</v>
      </c>
      <c r="L14" s="76">
        <v>41</v>
      </c>
      <c r="M14" s="102" t="str">
        <f t="shared" si="0"/>
        <v>+2</v>
      </c>
    </row>
    <row r="15" spans="1:13" x14ac:dyDescent="0.15">
      <c r="A15" s="1">
        <v>38</v>
      </c>
      <c r="B15" s="29"/>
      <c r="C15" s="46">
        <v>46974</v>
      </c>
      <c r="K15" s="76">
        <v>38</v>
      </c>
      <c r="L15" s="76">
        <v>40</v>
      </c>
      <c r="M15" s="102" t="str">
        <f t="shared" si="0"/>
        <v>+2</v>
      </c>
    </row>
    <row r="16" spans="1:13" x14ac:dyDescent="0.15">
      <c r="A16" s="1">
        <v>37</v>
      </c>
      <c r="B16" s="29"/>
      <c r="C16" s="46">
        <v>45585</v>
      </c>
      <c r="K16" s="76">
        <v>37</v>
      </c>
      <c r="L16" s="76">
        <v>39</v>
      </c>
      <c r="M16" s="102" t="str">
        <f t="shared" si="0"/>
        <v>+2</v>
      </c>
    </row>
    <row r="17" spans="1:13" x14ac:dyDescent="0.15">
      <c r="A17" s="1">
        <v>36</v>
      </c>
      <c r="B17" s="30"/>
      <c r="C17" s="46">
        <v>44263</v>
      </c>
      <c r="K17" s="76">
        <v>36</v>
      </c>
      <c r="L17" s="76">
        <v>39</v>
      </c>
      <c r="M17" s="102" t="str">
        <f t="shared" si="0"/>
        <v>+3</v>
      </c>
    </row>
    <row r="18" spans="1:13" x14ac:dyDescent="0.15">
      <c r="A18" s="1">
        <v>35</v>
      </c>
      <c r="B18" s="30"/>
      <c r="C18" s="46">
        <v>42978</v>
      </c>
      <c r="K18" s="76">
        <v>35</v>
      </c>
      <c r="L18" s="76">
        <v>39</v>
      </c>
      <c r="M18" s="102" t="str">
        <f t="shared" si="0"/>
        <v>+4</v>
      </c>
    </row>
    <row r="19" spans="1:13" x14ac:dyDescent="0.15">
      <c r="A19" s="1">
        <v>34</v>
      </c>
      <c r="B19" s="37" t="s">
        <v>6</v>
      </c>
      <c r="C19" s="46">
        <v>41732</v>
      </c>
      <c r="K19" s="76">
        <v>34</v>
      </c>
      <c r="L19" s="76">
        <v>39</v>
      </c>
      <c r="M19" s="102" t="str">
        <f t="shared" si="0"/>
        <v>+5</v>
      </c>
    </row>
  </sheetData>
  <mergeCells count="4">
    <mergeCell ref="K11:L11"/>
    <mergeCell ref="I6:I14"/>
    <mergeCell ref="A1:C1"/>
    <mergeCell ref="E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5D24-F71F-4A6F-B709-C0856A8CFEFD}">
  <dimension ref="A1:M18"/>
  <sheetViews>
    <sheetView workbookViewId="0">
      <selection activeCell="E11" sqref="E11"/>
    </sheetView>
  </sheetViews>
  <sheetFormatPr baseColWidth="10" defaultColWidth="8.83203125" defaultRowHeight="13" x14ac:dyDescent="0.15"/>
  <cols>
    <col min="1" max="1" width="6" bestFit="1" customWidth="1"/>
    <col min="4" max="4" width="2.6640625" customWidth="1"/>
    <col min="6" max="6" width="6" bestFit="1" customWidth="1"/>
    <col min="8" max="8" width="2.6640625" customWidth="1"/>
    <col min="10" max="10" width="2.6640625" customWidth="1"/>
    <col min="11" max="13" width="5.6640625" customWidth="1"/>
  </cols>
  <sheetData>
    <row r="1" spans="1:13" ht="34" customHeight="1" x14ac:dyDescent="0.2">
      <c r="A1" s="162" t="s">
        <v>34</v>
      </c>
      <c r="B1" s="163"/>
      <c r="C1" s="164"/>
      <c r="E1" s="165" t="s">
        <v>51</v>
      </c>
      <c r="F1" s="165"/>
      <c r="G1" s="165"/>
      <c r="H1" s="165"/>
      <c r="I1" s="165"/>
      <c r="J1" s="165"/>
      <c r="K1" s="165"/>
      <c r="L1" s="165"/>
    </row>
    <row r="2" spans="1:13" x14ac:dyDescent="0.15">
      <c r="A2" s="27"/>
      <c r="B2" s="2"/>
      <c r="C2" s="2"/>
      <c r="D2" s="2"/>
      <c r="E2" s="2"/>
      <c r="F2" s="2"/>
      <c r="G2" s="2"/>
      <c r="H2" s="2"/>
      <c r="J2" s="2"/>
      <c r="K2" s="1"/>
      <c r="L2" s="1"/>
    </row>
    <row r="3" spans="1:13" ht="59" customHeight="1" x14ac:dyDescent="0.15">
      <c r="A3" s="45" t="s">
        <v>0</v>
      </c>
      <c r="B3" s="2"/>
      <c r="C3" s="25" t="s">
        <v>29</v>
      </c>
      <c r="D3" s="73"/>
      <c r="E3" s="73"/>
      <c r="F3" s="45" t="s">
        <v>0</v>
      </c>
      <c r="G3" s="25" t="s">
        <v>29</v>
      </c>
      <c r="H3" s="28"/>
      <c r="K3" s="72" t="s">
        <v>35</v>
      </c>
      <c r="L3" s="72" t="s">
        <v>36</v>
      </c>
    </row>
    <row r="4" spans="1:13" x14ac:dyDescent="0.15">
      <c r="A4" s="27"/>
      <c r="B4" s="2"/>
      <c r="C4" s="2"/>
      <c r="D4" s="2"/>
      <c r="E4" s="2"/>
      <c r="F4" s="2"/>
      <c r="G4" s="2"/>
      <c r="H4" s="2"/>
      <c r="J4" s="2"/>
      <c r="K4" s="1"/>
      <c r="L4" s="1"/>
    </row>
    <row r="5" spans="1:13" x14ac:dyDescent="0.15">
      <c r="A5" s="1">
        <v>52</v>
      </c>
      <c r="B5" s="32"/>
      <c r="C5" s="46">
        <v>70919.100000000006</v>
      </c>
      <c r="D5" s="2"/>
      <c r="E5" s="59"/>
      <c r="F5" s="1">
        <v>53</v>
      </c>
      <c r="G5" s="66">
        <f t="shared" ref="G5:G14" si="0">C5</f>
        <v>70919.100000000006</v>
      </c>
      <c r="H5" s="2"/>
      <c r="I5" s="129" t="s">
        <v>10</v>
      </c>
      <c r="J5" s="2"/>
    </row>
    <row r="6" spans="1:13" x14ac:dyDescent="0.15">
      <c r="A6" s="1">
        <v>51</v>
      </c>
      <c r="B6" s="32"/>
      <c r="C6" s="46">
        <v>68857</v>
      </c>
      <c r="D6" s="2"/>
      <c r="E6" s="59"/>
      <c r="F6" s="1">
        <v>52</v>
      </c>
      <c r="G6" s="66">
        <f t="shared" si="0"/>
        <v>68857</v>
      </c>
      <c r="H6" s="2"/>
      <c r="I6" s="129"/>
      <c r="J6" s="2"/>
    </row>
    <row r="7" spans="1:13" x14ac:dyDescent="0.15">
      <c r="A7" s="1">
        <v>50</v>
      </c>
      <c r="B7" s="32"/>
      <c r="C7" s="46">
        <v>66857</v>
      </c>
      <c r="D7" s="2"/>
      <c r="E7" s="59"/>
      <c r="F7" s="1">
        <v>51</v>
      </c>
      <c r="G7" s="66">
        <f t="shared" si="0"/>
        <v>66857</v>
      </c>
      <c r="H7" s="2"/>
      <c r="I7" s="129"/>
      <c r="J7" s="2"/>
      <c r="K7" s="166" t="s">
        <v>31</v>
      </c>
      <c r="L7" s="166"/>
    </row>
    <row r="8" spans="1:13" x14ac:dyDescent="0.15">
      <c r="A8" s="1">
        <v>49</v>
      </c>
      <c r="B8" s="35"/>
      <c r="C8" s="46">
        <v>64914</v>
      </c>
      <c r="D8" s="2"/>
      <c r="E8" s="16"/>
      <c r="F8" s="1">
        <v>50</v>
      </c>
      <c r="G8" s="66">
        <f t="shared" si="0"/>
        <v>64914</v>
      </c>
      <c r="H8" s="2"/>
      <c r="I8" s="129"/>
      <c r="J8" s="2"/>
      <c r="K8" s="76">
        <v>49</v>
      </c>
      <c r="L8" s="38">
        <v>51</v>
      </c>
      <c r="M8" s="102" t="str">
        <f t="shared" ref="M8:M17" si="1">CONCATENATE("+",(L8-K8))</f>
        <v>+2</v>
      </c>
    </row>
    <row r="9" spans="1:13" x14ac:dyDescent="0.15">
      <c r="A9" s="4">
        <v>48</v>
      </c>
      <c r="B9" s="29"/>
      <c r="C9" s="46">
        <v>63334.950000000004</v>
      </c>
      <c r="D9" s="5"/>
      <c r="E9" s="16"/>
      <c r="F9" s="1">
        <v>49</v>
      </c>
      <c r="G9" s="66">
        <f t="shared" si="0"/>
        <v>63334.950000000004</v>
      </c>
      <c r="H9" s="5"/>
      <c r="I9" s="129"/>
      <c r="J9" s="5"/>
      <c r="K9" s="76">
        <v>48</v>
      </c>
      <c r="L9" s="38">
        <v>50</v>
      </c>
      <c r="M9" s="102" t="str">
        <f t="shared" si="1"/>
        <v>+2</v>
      </c>
    </row>
    <row r="10" spans="1:13" x14ac:dyDescent="0.15">
      <c r="A10" s="1">
        <v>47</v>
      </c>
      <c r="B10" s="29"/>
      <c r="C10" s="46">
        <v>61198</v>
      </c>
      <c r="D10" s="2"/>
      <c r="E10" s="55"/>
      <c r="F10" s="4">
        <v>48</v>
      </c>
      <c r="G10" s="66">
        <f t="shared" si="0"/>
        <v>61198</v>
      </c>
      <c r="H10" s="2"/>
      <c r="I10" s="129"/>
      <c r="J10" s="2"/>
      <c r="K10" s="76">
        <v>47</v>
      </c>
      <c r="L10" s="76">
        <v>49</v>
      </c>
      <c r="M10" s="102" t="str">
        <f t="shared" si="1"/>
        <v>+2</v>
      </c>
    </row>
    <row r="11" spans="1:13" x14ac:dyDescent="0.15">
      <c r="A11" s="1">
        <v>46</v>
      </c>
      <c r="B11" s="29"/>
      <c r="C11" s="46">
        <v>59421</v>
      </c>
      <c r="D11" s="2"/>
      <c r="E11" s="55"/>
      <c r="F11" s="1">
        <v>47</v>
      </c>
      <c r="G11" s="66">
        <f t="shared" si="0"/>
        <v>59421</v>
      </c>
      <c r="H11" s="2"/>
      <c r="I11" s="129"/>
      <c r="J11" s="2"/>
      <c r="K11" s="76">
        <v>46</v>
      </c>
      <c r="L11" s="76">
        <v>48</v>
      </c>
      <c r="M11" s="102" t="str">
        <f t="shared" si="1"/>
        <v>+2</v>
      </c>
    </row>
    <row r="12" spans="1:13" x14ac:dyDescent="0.15">
      <c r="A12" s="1">
        <v>45</v>
      </c>
      <c r="B12" s="29"/>
      <c r="C12" s="46">
        <v>57696</v>
      </c>
      <c r="D12" s="2"/>
      <c r="E12" s="55"/>
      <c r="F12" s="1">
        <v>46</v>
      </c>
      <c r="G12" s="66">
        <f t="shared" si="0"/>
        <v>57696</v>
      </c>
      <c r="H12" s="2"/>
      <c r="I12" s="129"/>
      <c r="J12" s="2"/>
      <c r="K12" s="76">
        <v>45</v>
      </c>
      <c r="L12" s="76">
        <v>47</v>
      </c>
      <c r="M12" s="102" t="str">
        <f t="shared" si="1"/>
        <v>+2</v>
      </c>
    </row>
    <row r="13" spans="1:13" x14ac:dyDescent="0.15">
      <c r="A13" s="1">
        <v>44</v>
      </c>
      <c r="B13" s="30"/>
      <c r="C13" s="46">
        <v>56021</v>
      </c>
      <c r="D13" s="2"/>
      <c r="E13" s="61"/>
      <c r="F13" s="1">
        <v>45</v>
      </c>
      <c r="G13" s="66">
        <f t="shared" si="0"/>
        <v>56021</v>
      </c>
      <c r="H13" s="2"/>
      <c r="I13" s="129"/>
      <c r="J13" s="2"/>
      <c r="K13" s="76">
        <v>44</v>
      </c>
      <c r="L13" s="76">
        <v>46</v>
      </c>
      <c r="M13" s="102" t="str">
        <f t="shared" si="1"/>
        <v>+2</v>
      </c>
    </row>
    <row r="14" spans="1:13" x14ac:dyDescent="0.15">
      <c r="A14" s="1">
        <v>43</v>
      </c>
      <c r="B14" s="30"/>
      <c r="C14" s="46">
        <v>54395</v>
      </c>
      <c r="D14" s="2"/>
      <c r="E14" s="61" t="s">
        <v>7</v>
      </c>
      <c r="F14" s="1">
        <v>44</v>
      </c>
      <c r="G14" s="66">
        <f t="shared" si="0"/>
        <v>54395</v>
      </c>
      <c r="H14" s="2"/>
      <c r="I14" s="129"/>
      <c r="J14" s="2"/>
      <c r="K14" s="76">
        <v>43</v>
      </c>
      <c r="L14" s="76">
        <v>45</v>
      </c>
      <c r="M14" s="102" t="str">
        <f t="shared" si="1"/>
        <v>+2</v>
      </c>
    </row>
    <row r="15" spans="1:13" x14ac:dyDescent="0.15">
      <c r="A15" s="1">
        <v>42</v>
      </c>
      <c r="B15" s="30"/>
      <c r="C15" s="46">
        <v>52815</v>
      </c>
      <c r="D15" s="2"/>
      <c r="E15" s="56"/>
      <c r="H15" s="2"/>
      <c r="J15" s="2"/>
      <c r="K15" s="76">
        <v>42</v>
      </c>
      <c r="L15" s="76">
        <v>44</v>
      </c>
      <c r="M15" s="102" t="str">
        <f t="shared" si="1"/>
        <v>+2</v>
      </c>
    </row>
    <row r="16" spans="1:13" x14ac:dyDescent="0.15">
      <c r="A16" s="1">
        <v>41</v>
      </c>
      <c r="B16" s="30"/>
      <c r="C16" s="46">
        <v>51283</v>
      </c>
      <c r="D16" s="2"/>
      <c r="E16" s="56"/>
      <c r="H16" s="2"/>
      <c r="J16" s="2"/>
      <c r="K16" s="76">
        <v>41</v>
      </c>
      <c r="L16" s="76">
        <v>44</v>
      </c>
      <c r="M16" s="102" t="str">
        <f t="shared" si="1"/>
        <v>+3</v>
      </c>
    </row>
    <row r="17" spans="1:13" x14ac:dyDescent="0.15">
      <c r="A17" s="1">
        <v>40</v>
      </c>
      <c r="B17" s="30"/>
      <c r="C17" s="46">
        <v>49794</v>
      </c>
      <c r="D17" s="2"/>
      <c r="E17" s="56"/>
      <c r="H17" s="2"/>
      <c r="J17" s="2"/>
      <c r="K17" s="76">
        <v>40</v>
      </c>
      <c r="L17" s="76">
        <v>44</v>
      </c>
      <c r="M17" s="102" t="str">
        <f t="shared" si="1"/>
        <v>+4</v>
      </c>
    </row>
    <row r="18" spans="1:13" x14ac:dyDescent="0.15">
      <c r="A18" s="1">
        <v>39</v>
      </c>
      <c r="B18" s="61" t="s">
        <v>7</v>
      </c>
      <c r="C18" s="46">
        <v>48350</v>
      </c>
      <c r="D18" s="2"/>
      <c r="E18" s="56"/>
      <c r="H18" s="2"/>
      <c r="J18" s="2"/>
      <c r="K18" s="76">
        <v>39</v>
      </c>
      <c r="L18" s="76">
        <v>44</v>
      </c>
      <c r="M18" s="102" t="str">
        <f>CONCATENATE("+",(L18-K18))</f>
        <v>+5</v>
      </c>
    </row>
  </sheetData>
  <mergeCells count="4">
    <mergeCell ref="A1:C1"/>
    <mergeCell ref="E1:L1"/>
    <mergeCell ref="K7:L7"/>
    <mergeCell ref="I5:I1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1ECA-A44C-41E2-9EEC-08A2F763CAFC}">
  <dimension ref="A1:N18"/>
  <sheetViews>
    <sheetView zoomScaleNormal="100" workbookViewId="0">
      <selection activeCell="O29" sqref="O29"/>
    </sheetView>
  </sheetViews>
  <sheetFormatPr baseColWidth="10" defaultColWidth="8.83203125" defaultRowHeight="13" x14ac:dyDescent="0.15"/>
  <cols>
    <col min="1" max="1" width="6" bestFit="1" customWidth="1"/>
    <col min="3" max="3" width="2.6640625" customWidth="1"/>
    <col min="5" max="5" width="2.6640625" customWidth="1"/>
    <col min="7" max="7" width="6" bestFit="1" customWidth="1"/>
    <col min="9" max="9" width="2.6640625" customWidth="1"/>
    <col min="11" max="11" width="2.6640625" customWidth="1"/>
    <col min="12" max="14" width="5.6640625" customWidth="1"/>
  </cols>
  <sheetData>
    <row r="1" spans="1:14" ht="34" customHeight="1" x14ac:dyDescent="0.2">
      <c r="A1" s="162" t="s">
        <v>34</v>
      </c>
      <c r="B1" s="163"/>
      <c r="C1" s="164"/>
      <c r="E1" s="160" t="s">
        <v>51</v>
      </c>
      <c r="F1" s="161"/>
      <c r="G1" s="161"/>
      <c r="H1" s="161"/>
      <c r="I1" s="161"/>
      <c r="J1" s="161"/>
      <c r="K1" s="161"/>
      <c r="L1" s="161"/>
      <c r="M1" s="161"/>
    </row>
    <row r="2" spans="1:14" x14ac:dyDescent="0.15">
      <c r="A2" s="27"/>
      <c r="B2" s="2"/>
      <c r="C2" s="1"/>
      <c r="D2" s="2"/>
      <c r="E2" s="2"/>
      <c r="F2" s="2"/>
      <c r="G2" s="2"/>
      <c r="H2" s="2"/>
      <c r="I2" s="2"/>
      <c r="L2" s="1"/>
      <c r="M2" s="1"/>
    </row>
    <row r="3" spans="1:14" ht="59" customHeight="1" x14ac:dyDescent="0.15">
      <c r="A3" s="45" t="s">
        <v>0</v>
      </c>
      <c r="B3" s="2"/>
      <c r="C3" s="1"/>
      <c r="D3" s="25" t="s">
        <v>29</v>
      </c>
      <c r="E3" s="73"/>
      <c r="G3" s="45" t="s">
        <v>0</v>
      </c>
      <c r="H3" s="25" t="s">
        <v>29</v>
      </c>
      <c r="I3" s="28"/>
      <c r="L3" s="72" t="s">
        <v>35</v>
      </c>
      <c r="M3" s="72" t="s">
        <v>36</v>
      </c>
    </row>
    <row r="4" spans="1:14" ht="13" customHeight="1" x14ac:dyDescent="0.15">
      <c r="A4" s="27"/>
      <c r="B4" s="2"/>
      <c r="C4" s="1"/>
      <c r="D4" s="2"/>
      <c r="E4" s="2"/>
      <c r="F4" s="2"/>
      <c r="G4" s="2"/>
      <c r="H4" s="2"/>
      <c r="I4" s="2"/>
      <c r="L4" s="1"/>
      <c r="M4" s="1"/>
    </row>
    <row r="5" spans="1:14" ht="12.5" customHeight="1" x14ac:dyDescent="0.15">
      <c r="A5" s="7">
        <v>60</v>
      </c>
      <c r="C5" s="4"/>
      <c r="D5" s="46">
        <v>89811.75</v>
      </c>
      <c r="E5" s="2"/>
      <c r="F5" s="16"/>
      <c r="G5" s="7">
        <v>61</v>
      </c>
      <c r="H5" s="66">
        <f t="shared" ref="H5:H13" si="0">D5</f>
        <v>89811.75</v>
      </c>
      <c r="I5" s="2"/>
      <c r="J5" s="136" t="s">
        <v>9</v>
      </c>
    </row>
    <row r="6" spans="1:14" x14ac:dyDescent="0.15">
      <c r="A6" s="7">
        <v>59</v>
      </c>
      <c r="C6" s="4"/>
      <c r="D6" s="46">
        <v>87197.25</v>
      </c>
      <c r="E6" s="2"/>
      <c r="F6" s="16"/>
      <c r="G6" s="7">
        <v>60</v>
      </c>
      <c r="H6" s="66">
        <f t="shared" si="0"/>
        <v>87197.25</v>
      </c>
      <c r="I6" s="2"/>
      <c r="J6" s="137"/>
    </row>
    <row r="7" spans="1:14" x14ac:dyDescent="0.15">
      <c r="A7" s="7">
        <v>58</v>
      </c>
      <c r="C7" s="4"/>
      <c r="D7" s="46">
        <v>84655.2</v>
      </c>
      <c r="E7" s="2"/>
      <c r="F7" s="16"/>
      <c r="G7" s="7">
        <v>59</v>
      </c>
      <c r="H7" s="66">
        <f t="shared" si="0"/>
        <v>84655.2</v>
      </c>
      <c r="I7" s="2"/>
      <c r="J7" s="137"/>
    </row>
    <row r="8" spans="1:14" x14ac:dyDescent="0.15">
      <c r="A8" s="7">
        <v>57</v>
      </c>
      <c r="B8" s="11"/>
      <c r="C8" s="4"/>
      <c r="D8" s="46">
        <v>82189.8</v>
      </c>
      <c r="E8" s="2"/>
      <c r="F8" s="16"/>
      <c r="G8" s="7">
        <v>58</v>
      </c>
      <c r="H8" s="66">
        <f t="shared" si="0"/>
        <v>82189.8</v>
      </c>
      <c r="I8" s="2"/>
      <c r="J8" s="137"/>
    </row>
    <row r="9" spans="1:14" x14ac:dyDescent="0.15">
      <c r="A9" s="7">
        <v>56</v>
      </c>
      <c r="B9" s="16"/>
      <c r="C9" s="4"/>
      <c r="D9" s="46">
        <v>79794.75</v>
      </c>
      <c r="E9" s="2"/>
      <c r="F9" s="55"/>
      <c r="G9" s="7">
        <v>57</v>
      </c>
      <c r="H9" s="66">
        <f t="shared" si="0"/>
        <v>79794.75</v>
      </c>
      <c r="I9" s="2"/>
      <c r="J9" s="137"/>
      <c r="L9" s="166" t="s">
        <v>32</v>
      </c>
      <c r="M9" s="166"/>
    </row>
    <row r="10" spans="1:14" x14ac:dyDescent="0.15">
      <c r="A10" s="7">
        <v>55</v>
      </c>
      <c r="B10" s="16"/>
      <c r="C10" s="4"/>
      <c r="D10" s="46">
        <v>77479.5</v>
      </c>
      <c r="E10" s="2"/>
      <c r="F10" s="57"/>
      <c r="G10" s="7">
        <v>56</v>
      </c>
      <c r="H10" s="66">
        <f t="shared" si="0"/>
        <v>77479.5</v>
      </c>
      <c r="I10" s="2"/>
      <c r="J10" s="137"/>
      <c r="L10" s="75">
        <v>56</v>
      </c>
      <c r="M10" s="76">
        <v>58</v>
      </c>
      <c r="N10" s="102" t="str">
        <f t="shared" ref="N10:N18" si="1">CONCATENATE("+",(M10-L10))</f>
        <v>+2</v>
      </c>
    </row>
    <row r="11" spans="1:14" x14ac:dyDescent="0.15">
      <c r="A11" s="1">
        <v>54</v>
      </c>
      <c r="B11" s="29"/>
      <c r="C11" s="4"/>
      <c r="D11" s="46">
        <v>75228.3</v>
      </c>
      <c r="E11" s="2"/>
      <c r="F11" s="57"/>
      <c r="G11" s="7">
        <v>55</v>
      </c>
      <c r="H11" s="66">
        <f t="shared" si="0"/>
        <v>75228.3</v>
      </c>
      <c r="I11" s="2"/>
      <c r="J11" s="137"/>
      <c r="L11" s="75">
        <v>55</v>
      </c>
      <c r="M11" s="76">
        <v>57</v>
      </c>
      <c r="N11" s="102" t="str">
        <f t="shared" si="1"/>
        <v>+2</v>
      </c>
    </row>
    <row r="12" spans="1:14" ht="13" customHeight="1" x14ac:dyDescent="0.15">
      <c r="A12" s="1">
        <v>53</v>
      </c>
      <c r="B12" s="29"/>
      <c r="C12" s="4"/>
      <c r="D12" s="46">
        <v>73043.25</v>
      </c>
      <c r="E12" s="2"/>
      <c r="F12" s="60"/>
      <c r="G12" s="1">
        <v>54</v>
      </c>
      <c r="H12" s="66">
        <f t="shared" si="0"/>
        <v>73043.25</v>
      </c>
      <c r="I12" s="2"/>
      <c r="J12" s="137"/>
      <c r="L12" s="76">
        <v>54</v>
      </c>
      <c r="M12" s="76">
        <v>56</v>
      </c>
      <c r="N12" s="102" t="str">
        <f t="shared" si="1"/>
        <v>+2</v>
      </c>
    </row>
    <row r="13" spans="1:14" x14ac:dyDescent="0.15">
      <c r="A13" s="1">
        <v>52</v>
      </c>
      <c r="B13" s="29"/>
      <c r="C13" s="4"/>
      <c r="D13" s="46">
        <v>70919.100000000006</v>
      </c>
      <c r="E13" s="2"/>
      <c r="F13" s="60" t="s">
        <v>4</v>
      </c>
      <c r="G13" s="1">
        <v>53</v>
      </c>
      <c r="H13" s="66">
        <f t="shared" si="0"/>
        <v>70919.100000000006</v>
      </c>
      <c r="I13" s="2"/>
      <c r="J13" s="138"/>
      <c r="L13" s="76">
        <v>53</v>
      </c>
      <c r="M13" s="76">
        <v>55</v>
      </c>
      <c r="N13" s="102" t="str">
        <f t="shared" si="1"/>
        <v>+2</v>
      </c>
    </row>
    <row r="14" spans="1:14" x14ac:dyDescent="0.15">
      <c r="A14" s="1">
        <v>51</v>
      </c>
      <c r="B14" s="34"/>
      <c r="C14" s="1"/>
      <c r="D14" s="46">
        <v>68857</v>
      </c>
      <c r="E14" s="2"/>
      <c r="F14" s="56"/>
      <c r="I14" s="2"/>
      <c r="L14" s="76">
        <v>52</v>
      </c>
      <c r="M14" s="76">
        <v>54</v>
      </c>
      <c r="N14" s="102" t="str">
        <f t="shared" si="1"/>
        <v>+2</v>
      </c>
    </row>
    <row r="15" spans="1:14" x14ac:dyDescent="0.15">
      <c r="A15" s="1">
        <v>50</v>
      </c>
      <c r="B15" s="31"/>
      <c r="C15" s="1"/>
      <c r="D15" s="46">
        <v>66857</v>
      </c>
      <c r="E15" s="2"/>
      <c r="F15" s="56"/>
      <c r="I15" s="2"/>
      <c r="L15" s="76">
        <v>51</v>
      </c>
      <c r="M15" s="76">
        <v>53</v>
      </c>
      <c r="N15" s="102" t="str">
        <f t="shared" si="1"/>
        <v>+2</v>
      </c>
    </row>
    <row r="16" spans="1:14" x14ac:dyDescent="0.15">
      <c r="A16" s="1">
        <v>49</v>
      </c>
      <c r="B16" s="31"/>
      <c r="C16" s="1"/>
      <c r="D16" s="46">
        <v>64914</v>
      </c>
      <c r="E16" s="2"/>
      <c r="F16" s="56"/>
      <c r="I16" s="2"/>
      <c r="L16" s="76">
        <v>50</v>
      </c>
      <c r="M16" s="75">
        <v>53</v>
      </c>
      <c r="N16" s="102" t="str">
        <f t="shared" si="1"/>
        <v>+3</v>
      </c>
    </row>
    <row r="17" spans="1:14" ht="14" x14ac:dyDescent="0.15">
      <c r="A17" s="4">
        <v>48</v>
      </c>
      <c r="B17" s="33" t="s">
        <v>4</v>
      </c>
      <c r="C17" s="4"/>
      <c r="D17" s="46">
        <v>63334.950000000004</v>
      </c>
      <c r="E17" s="5"/>
      <c r="F17" s="56"/>
      <c r="I17" s="5"/>
      <c r="L17" s="76">
        <v>49</v>
      </c>
      <c r="M17" s="75">
        <v>53</v>
      </c>
      <c r="N17" s="102" t="str">
        <f t="shared" si="1"/>
        <v>+4</v>
      </c>
    </row>
    <row r="18" spans="1:14" x14ac:dyDescent="0.15">
      <c r="L18" s="76">
        <v>48</v>
      </c>
      <c r="M18" s="76">
        <v>53</v>
      </c>
      <c r="N18" s="102" t="str">
        <f t="shared" si="1"/>
        <v>+5</v>
      </c>
    </row>
  </sheetData>
  <mergeCells count="4">
    <mergeCell ref="J5:J13"/>
    <mergeCell ref="L9:M9"/>
    <mergeCell ref="A1:C1"/>
    <mergeCell ref="E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602F-EFDE-47C7-9DB1-CC2A32C40749}">
  <dimension ref="A1:T24"/>
  <sheetViews>
    <sheetView workbookViewId="0">
      <selection activeCell="W23" sqref="W23"/>
    </sheetView>
  </sheetViews>
  <sheetFormatPr baseColWidth="10" defaultColWidth="8.83203125" defaultRowHeight="13" x14ac:dyDescent="0.15"/>
  <cols>
    <col min="1" max="3" width="6.6640625" customWidth="1"/>
    <col min="4" max="4" width="2.6640625" customWidth="1"/>
    <col min="6" max="6" width="2.6640625" customWidth="1"/>
    <col min="7" max="9" width="6.6640625" customWidth="1"/>
    <col min="11" max="11" width="2.6640625" customWidth="1"/>
    <col min="14" max="14" width="2.6640625" customWidth="1"/>
    <col min="15" max="20" width="5.6640625" customWidth="1"/>
  </cols>
  <sheetData>
    <row r="1" spans="1:20" ht="34" customHeight="1" x14ac:dyDescent="0.2">
      <c r="A1" s="162" t="s">
        <v>34</v>
      </c>
      <c r="B1" s="163"/>
      <c r="C1" s="164"/>
      <c r="E1" s="160" t="s">
        <v>51</v>
      </c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</row>
    <row r="2" spans="1:20" x14ac:dyDescent="0.15">
      <c r="A2" s="27"/>
      <c r="B2" s="2"/>
      <c r="C2" s="2"/>
      <c r="D2" s="1"/>
      <c r="E2" s="2"/>
      <c r="F2" s="2"/>
      <c r="G2" s="2"/>
      <c r="H2" s="2"/>
      <c r="I2" s="2"/>
      <c r="J2" s="2"/>
      <c r="K2" s="2"/>
      <c r="N2" s="2"/>
      <c r="O2" s="1"/>
      <c r="P2" s="1"/>
    </row>
    <row r="3" spans="1:20" ht="60" customHeight="1" x14ac:dyDescent="0.15">
      <c r="A3" s="45" t="s">
        <v>0</v>
      </c>
      <c r="B3" s="2"/>
      <c r="C3" s="2"/>
      <c r="D3" s="1"/>
      <c r="E3" s="25" t="s">
        <v>29</v>
      </c>
      <c r="F3" s="73"/>
      <c r="G3" s="73"/>
      <c r="I3" s="45" t="s">
        <v>0</v>
      </c>
      <c r="J3" s="25" t="s">
        <v>29</v>
      </c>
      <c r="K3" s="28"/>
      <c r="O3" s="72" t="s">
        <v>35</v>
      </c>
      <c r="P3" s="72" t="s">
        <v>36</v>
      </c>
    </row>
    <row r="4" spans="1:20" x14ac:dyDescent="0.15">
      <c r="A4" s="27"/>
      <c r="B4" s="2"/>
      <c r="C4" s="2"/>
      <c r="D4" s="1"/>
      <c r="E4" s="2"/>
      <c r="F4" s="2"/>
      <c r="G4" s="2"/>
      <c r="H4" s="2"/>
      <c r="I4" s="2"/>
      <c r="J4" s="2"/>
      <c r="K4" s="2"/>
      <c r="N4" s="2"/>
      <c r="O4" s="1"/>
      <c r="P4" s="1"/>
    </row>
    <row r="5" spans="1:20" x14ac:dyDescent="0.15">
      <c r="A5" s="2"/>
      <c r="B5" s="2"/>
      <c r="C5" s="2"/>
      <c r="D5" s="1"/>
      <c r="E5" s="2"/>
      <c r="F5" s="2"/>
      <c r="G5" s="2"/>
      <c r="H5" s="2"/>
      <c r="I5" s="2"/>
      <c r="J5" s="2"/>
      <c r="K5" s="2"/>
      <c r="N5" s="2"/>
      <c r="O5" s="1"/>
      <c r="P5" s="1"/>
    </row>
    <row r="6" spans="1:20" ht="12.5" customHeight="1" x14ac:dyDescent="0.15">
      <c r="A6" s="26"/>
      <c r="B6" s="130" t="s">
        <v>55</v>
      </c>
      <c r="C6" s="8"/>
      <c r="D6" s="1"/>
      <c r="E6" s="2"/>
      <c r="F6" s="2"/>
      <c r="G6" s="130" t="s">
        <v>55</v>
      </c>
      <c r="H6" s="2"/>
      <c r="I6" s="2"/>
      <c r="J6" s="2"/>
      <c r="K6" s="2"/>
      <c r="L6" s="154" t="s">
        <v>14</v>
      </c>
      <c r="N6" s="2"/>
      <c r="O6" s="158" t="s">
        <v>33</v>
      </c>
      <c r="P6" s="159"/>
      <c r="R6" s="158" t="s">
        <v>13</v>
      </c>
      <c r="S6" s="159"/>
    </row>
    <row r="7" spans="1:20" ht="12.5" customHeight="1" x14ac:dyDescent="0.15">
      <c r="A7" s="7">
        <v>71</v>
      </c>
      <c r="B7" s="131"/>
      <c r="C7" s="104"/>
      <c r="D7" s="4"/>
      <c r="E7" s="46">
        <v>124318.95000000001</v>
      </c>
      <c r="F7" s="2"/>
      <c r="G7" s="131"/>
      <c r="H7" s="105"/>
      <c r="I7" s="7">
        <v>71</v>
      </c>
      <c r="J7" s="46">
        <v>124318.95000000001</v>
      </c>
      <c r="K7" s="2"/>
      <c r="L7" s="155"/>
      <c r="M7" s="152" t="s">
        <v>13</v>
      </c>
      <c r="N7" s="2"/>
      <c r="O7" s="84">
        <v>71</v>
      </c>
      <c r="P7" s="85">
        <v>71</v>
      </c>
      <c r="Q7" s="102" t="str">
        <f>CONCATENATE("+",(P9-O9))</f>
        <v>+0</v>
      </c>
      <c r="R7" s="75">
        <v>71</v>
      </c>
      <c r="S7" s="38">
        <v>71</v>
      </c>
      <c r="T7" s="102" t="str">
        <f t="shared" ref="T7:T20" si="0">CONCATENATE("+",(S7-R7))</f>
        <v>+0</v>
      </c>
    </row>
    <row r="8" spans="1:20" ht="12.5" customHeight="1" x14ac:dyDescent="0.15">
      <c r="A8" s="7">
        <v>70</v>
      </c>
      <c r="B8" s="131"/>
      <c r="C8" s="104"/>
      <c r="D8" s="4"/>
      <c r="E8" s="46">
        <v>120698.55</v>
      </c>
      <c r="F8" s="2"/>
      <c r="G8" s="131"/>
      <c r="H8" s="105"/>
      <c r="I8" s="7">
        <v>70</v>
      </c>
      <c r="J8" s="46">
        <v>120698.55</v>
      </c>
      <c r="K8" s="2"/>
      <c r="L8" s="155"/>
      <c r="M8" s="152"/>
      <c r="N8" s="2"/>
      <c r="O8" s="84">
        <v>70</v>
      </c>
      <c r="P8" s="85">
        <v>70</v>
      </c>
      <c r="Q8" s="102" t="str">
        <f>CONCATENATE("+",(P7-O7))</f>
        <v>+0</v>
      </c>
      <c r="R8" s="75">
        <v>70</v>
      </c>
      <c r="S8" s="38">
        <v>70</v>
      </c>
      <c r="T8" s="102" t="str">
        <f t="shared" si="0"/>
        <v>+0</v>
      </c>
    </row>
    <row r="9" spans="1:20" x14ac:dyDescent="0.15">
      <c r="A9" s="7">
        <v>69</v>
      </c>
      <c r="B9" s="132"/>
      <c r="C9" s="104"/>
      <c r="D9" s="4"/>
      <c r="E9" s="46">
        <v>117183.15000000001</v>
      </c>
      <c r="F9" s="2"/>
      <c r="G9" s="132"/>
      <c r="H9" s="105"/>
      <c r="I9" s="7">
        <v>69</v>
      </c>
      <c r="J9" s="46">
        <v>117183.15000000001</v>
      </c>
      <c r="K9" s="2"/>
      <c r="L9" s="155"/>
      <c r="M9" s="152"/>
      <c r="N9" s="2"/>
      <c r="O9" s="84">
        <v>69</v>
      </c>
      <c r="P9" s="85">
        <v>69</v>
      </c>
      <c r="Q9" s="102" t="str">
        <f>CONCATENATE("+",(P8-O8))</f>
        <v>+0</v>
      </c>
      <c r="R9" s="75">
        <v>69</v>
      </c>
      <c r="S9" s="38">
        <v>69</v>
      </c>
      <c r="T9" s="102" t="str">
        <f t="shared" si="0"/>
        <v>+0</v>
      </c>
    </row>
    <row r="10" spans="1:20" x14ac:dyDescent="0.15">
      <c r="A10" s="7">
        <v>68</v>
      </c>
      <c r="B10" s="8"/>
      <c r="C10" s="105"/>
      <c r="D10" s="4"/>
      <c r="E10" s="46">
        <v>113770.65000000001</v>
      </c>
      <c r="F10" s="2"/>
      <c r="G10" s="2"/>
      <c r="H10" s="105"/>
      <c r="I10" s="7">
        <v>68</v>
      </c>
      <c r="J10" s="46">
        <v>113770.65000000001</v>
      </c>
      <c r="K10" s="2"/>
      <c r="M10" s="152"/>
      <c r="N10" s="2"/>
      <c r="R10" s="75">
        <v>68</v>
      </c>
      <c r="S10" s="38">
        <v>68</v>
      </c>
      <c r="T10" s="102" t="str">
        <f t="shared" si="0"/>
        <v>+0</v>
      </c>
    </row>
    <row r="11" spans="1:20" x14ac:dyDescent="0.15">
      <c r="A11" s="7">
        <v>67</v>
      </c>
      <c r="B11" s="8"/>
      <c r="C11" s="105"/>
      <c r="D11" s="4"/>
      <c r="E11" s="46">
        <v>110454.75</v>
      </c>
      <c r="F11" s="2"/>
      <c r="G11" s="2"/>
      <c r="H11" s="105"/>
      <c r="I11" s="7">
        <v>67</v>
      </c>
      <c r="J11" s="46">
        <v>110454.75</v>
      </c>
      <c r="K11" s="2"/>
      <c r="M11" s="152"/>
      <c r="N11" s="2"/>
      <c r="O11" s="74"/>
      <c r="P11" s="74"/>
      <c r="R11" s="75">
        <v>67</v>
      </c>
      <c r="S11" s="38">
        <v>67</v>
      </c>
      <c r="T11" s="102" t="str">
        <f t="shared" si="0"/>
        <v>+0</v>
      </c>
    </row>
    <row r="12" spans="1:20" x14ac:dyDescent="0.15">
      <c r="A12" s="7">
        <v>66</v>
      </c>
      <c r="B12" s="8"/>
      <c r="C12" s="105"/>
      <c r="D12" s="4"/>
      <c r="E12" s="46">
        <v>107238.6</v>
      </c>
      <c r="F12" s="2"/>
      <c r="G12" s="2"/>
      <c r="H12" s="105"/>
      <c r="I12" s="7">
        <v>66</v>
      </c>
      <c r="J12" s="46">
        <v>107238.6</v>
      </c>
      <c r="K12" s="2"/>
      <c r="M12" s="152"/>
      <c r="N12" s="2"/>
      <c r="O12" s="74"/>
      <c r="P12" s="74"/>
      <c r="R12" s="75">
        <v>66</v>
      </c>
      <c r="S12" s="38">
        <v>66</v>
      </c>
      <c r="T12" s="102" t="str">
        <f t="shared" si="0"/>
        <v>+0</v>
      </c>
    </row>
    <row r="13" spans="1:20" x14ac:dyDescent="0.15">
      <c r="A13" s="7">
        <v>65</v>
      </c>
      <c r="B13" s="8"/>
      <c r="C13" s="105"/>
      <c r="D13" s="4"/>
      <c r="E13" s="46">
        <v>104116.95000000001</v>
      </c>
      <c r="F13" s="2"/>
      <c r="G13" s="2"/>
      <c r="H13" s="105"/>
      <c r="I13" s="7">
        <v>65</v>
      </c>
      <c r="J13" s="46">
        <v>104116.95000000001</v>
      </c>
      <c r="K13" s="2"/>
      <c r="M13" s="152"/>
      <c r="N13" s="2"/>
      <c r="O13" s="74"/>
      <c r="P13" s="74"/>
      <c r="R13" s="75">
        <v>65</v>
      </c>
      <c r="S13" s="38">
        <v>65</v>
      </c>
      <c r="T13" s="102" t="str">
        <f t="shared" si="0"/>
        <v>+0</v>
      </c>
    </row>
    <row r="14" spans="1:20" x14ac:dyDescent="0.15">
      <c r="A14" s="7">
        <v>64</v>
      </c>
      <c r="B14" s="8"/>
      <c r="C14" s="105"/>
      <c r="D14" s="4"/>
      <c r="E14" s="46">
        <v>101083.5</v>
      </c>
      <c r="F14" s="2"/>
      <c r="H14" s="105"/>
      <c r="I14" s="7">
        <v>64</v>
      </c>
      <c r="J14" s="46">
        <v>101083.5</v>
      </c>
      <c r="K14" s="2"/>
      <c r="M14" s="152"/>
      <c r="N14" s="2"/>
      <c r="R14" s="75">
        <v>64</v>
      </c>
      <c r="S14" s="38">
        <v>64</v>
      </c>
      <c r="T14" s="102" t="str">
        <f t="shared" si="0"/>
        <v>+0</v>
      </c>
    </row>
    <row r="15" spans="1:20" ht="12.5" customHeight="1" x14ac:dyDescent="0.15">
      <c r="A15" s="7">
        <v>63</v>
      </c>
      <c r="B15" s="8"/>
      <c r="C15" s="105"/>
      <c r="D15" s="4"/>
      <c r="E15" s="46">
        <v>98139.3</v>
      </c>
      <c r="F15" s="2"/>
      <c r="G15" s="109"/>
      <c r="H15" s="106" t="s">
        <v>54</v>
      </c>
      <c r="I15" s="7">
        <v>63</v>
      </c>
      <c r="J15" s="46">
        <v>98139.3</v>
      </c>
      <c r="K15" s="2"/>
      <c r="L15" s="151" t="s">
        <v>12</v>
      </c>
      <c r="M15" s="153"/>
      <c r="N15" s="2"/>
      <c r="R15" s="75">
        <v>63</v>
      </c>
      <c r="S15" s="38">
        <v>64</v>
      </c>
      <c r="T15" s="102" t="str">
        <f t="shared" si="0"/>
        <v>+1</v>
      </c>
    </row>
    <row r="16" spans="1:20" x14ac:dyDescent="0.15">
      <c r="A16" s="7">
        <v>62</v>
      </c>
      <c r="B16" s="8"/>
      <c r="C16" s="105"/>
      <c r="D16" s="4"/>
      <c r="E16" s="46">
        <v>95282.25</v>
      </c>
      <c r="F16" s="2"/>
      <c r="G16" s="105"/>
      <c r="H16" s="2"/>
      <c r="I16" s="7">
        <v>62</v>
      </c>
      <c r="J16" s="46">
        <v>95282.25</v>
      </c>
      <c r="K16" s="2"/>
      <c r="L16" s="151"/>
      <c r="N16" s="2"/>
      <c r="R16" s="75">
        <v>62</v>
      </c>
      <c r="S16" s="38">
        <v>63</v>
      </c>
      <c r="T16" s="102" t="str">
        <f t="shared" si="0"/>
        <v>+1</v>
      </c>
    </row>
    <row r="17" spans="1:20" x14ac:dyDescent="0.15">
      <c r="A17" s="7">
        <v>61</v>
      </c>
      <c r="B17" s="8"/>
      <c r="C17" s="105"/>
      <c r="D17" s="4"/>
      <c r="E17" s="46">
        <v>92506.05</v>
      </c>
      <c r="F17" s="2"/>
      <c r="G17" s="105"/>
      <c r="H17" s="2"/>
      <c r="I17" s="7">
        <v>61</v>
      </c>
      <c r="J17" s="46">
        <v>92506.05</v>
      </c>
      <c r="K17" s="2"/>
      <c r="L17" s="151"/>
      <c r="N17" s="2"/>
      <c r="O17" s="166" t="s">
        <v>12</v>
      </c>
      <c r="P17" s="166"/>
      <c r="R17" s="75">
        <v>61</v>
      </c>
      <c r="S17" s="38">
        <v>62</v>
      </c>
      <c r="T17" s="102" t="str">
        <f t="shared" si="0"/>
        <v>+1</v>
      </c>
    </row>
    <row r="18" spans="1:20" x14ac:dyDescent="0.15">
      <c r="A18" s="7">
        <v>60</v>
      </c>
      <c r="B18" s="105"/>
      <c r="C18" s="105"/>
      <c r="D18" s="4"/>
      <c r="E18" s="46">
        <v>89811.75</v>
      </c>
      <c r="F18" s="2"/>
      <c r="G18" s="105"/>
      <c r="I18" s="7">
        <v>60</v>
      </c>
      <c r="J18" s="46">
        <v>89811.75</v>
      </c>
      <c r="K18" s="2"/>
      <c r="L18" s="151"/>
      <c r="N18" s="2"/>
      <c r="O18" s="75">
        <v>60</v>
      </c>
      <c r="P18" s="76">
        <v>61</v>
      </c>
      <c r="Q18" s="102" t="str">
        <f>CONCATENATE("+",(P18-O18))</f>
        <v>+1</v>
      </c>
      <c r="R18" s="75">
        <v>60</v>
      </c>
      <c r="S18" s="38">
        <v>61</v>
      </c>
      <c r="T18" s="102" t="str">
        <f t="shared" si="0"/>
        <v>+1</v>
      </c>
    </row>
    <row r="19" spans="1:20" x14ac:dyDescent="0.15">
      <c r="A19" s="7">
        <v>59</v>
      </c>
      <c r="B19" s="105"/>
      <c r="C19" s="105"/>
      <c r="D19" s="4"/>
      <c r="E19" s="46">
        <v>87197.25</v>
      </c>
      <c r="F19" s="2"/>
      <c r="G19" s="105"/>
      <c r="I19" s="7">
        <v>59</v>
      </c>
      <c r="J19" s="46">
        <v>87197.25</v>
      </c>
      <c r="K19" s="2"/>
      <c r="L19" s="151"/>
      <c r="N19" s="2"/>
      <c r="O19" s="75">
        <v>59</v>
      </c>
      <c r="P19" s="76">
        <v>60</v>
      </c>
      <c r="Q19" s="102" t="str">
        <f t="shared" ref="Q19:Q24" si="1">CONCATENATE("+",(P19-O19))</f>
        <v>+1</v>
      </c>
      <c r="R19" s="75">
        <v>59</v>
      </c>
      <c r="S19" s="38">
        <v>60</v>
      </c>
      <c r="T19" s="102" t="str">
        <f t="shared" si="0"/>
        <v>+1</v>
      </c>
    </row>
    <row r="20" spans="1:20" x14ac:dyDescent="0.15">
      <c r="A20" s="7">
        <v>58</v>
      </c>
      <c r="B20" s="105"/>
      <c r="C20" s="106" t="s">
        <v>54</v>
      </c>
      <c r="D20" s="4"/>
      <c r="E20" s="46">
        <v>84655.2</v>
      </c>
      <c r="F20" s="2"/>
      <c r="G20" s="106" t="s">
        <v>53</v>
      </c>
      <c r="I20" s="7">
        <v>58</v>
      </c>
      <c r="J20" s="46">
        <v>84655.2</v>
      </c>
      <c r="K20" s="2"/>
      <c r="L20" s="151"/>
      <c r="N20" s="2"/>
      <c r="O20" s="75">
        <v>58</v>
      </c>
      <c r="P20" s="76">
        <v>59</v>
      </c>
      <c r="Q20" s="102" t="str">
        <f t="shared" si="1"/>
        <v>+1</v>
      </c>
      <c r="R20" s="75">
        <v>58</v>
      </c>
      <c r="S20" s="38">
        <v>59</v>
      </c>
      <c r="T20" s="102" t="str">
        <f t="shared" si="0"/>
        <v>+1</v>
      </c>
    </row>
    <row r="21" spans="1:20" x14ac:dyDescent="0.15">
      <c r="A21" s="7">
        <v>57</v>
      </c>
      <c r="B21" s="105"/>
      <c r="C21" s="107"/>
      <c r="D21" s="4"/>
      <c r="E21" s="46">
        <v>82189.8</v>
      </c>
      <c r="F21" s="2"/>
      <c r="I21" s="7">
        <v>57</v>
      </c>
      <c r="J21" s="46">
        <v>82189.8</v>
      </c>
      <c r="K21" s="2"/>
      <c r="N21" s="2"/>
      <c r="O21" s="75">
        <v>57</v>
      </c>
      <c r="P21" s="76">
        <v>58</v>
      </c>
      <c r="Q21" s="102" t="str">
        <f t="shared" si="1"/>
        <v>+1</v>
      </c>
    </row>
    <row r="22" spans="1:20" x14ac:dyDescent="0.15">
      <c r="A22" s="7">
        <v>56</v>
      </c>
      <c r="B22" s="105"/>
      <c r="D22" s="4"/>
      <c r="E22" s="46">
        <v>79794.75</v>
      </c>
      <c r="F22" s="2"/>
      <c r="G22" s="56"/>
      <c r="H22" s="56"/>
      <c r="I22" s="7">
        <v>56</v>
      </c>
      <c r="J22" s="46">
        <v>79794.75</v>
      </c>
      <c r="K22" s="2"/>
      <c r="N22" s="2"/>
      <c r="O22" s="75">
        <v>56</v>
      </c>
      <c r="P22" s="75">
        <v>58</v>
      </c>
      <c r="Q22" s="102" t="str">
        <f t="shared" si="1"/>
        <v>+2</v>
      </c>
    </row>
    <row r="23" spans="1:20" x14ac:dyDescent="0.15">
      <c r="A23" s="7">
        <v>55</v>
      </c>
      <c r="B23" s="105"/>
      <c r="D23" s="4"/>
      <c r="E23" s="46">
        <v>77479.5</v>
      </c>
      <c r="F23" s="2"/>
      <c r="G23" s="56"/>
      <c r="H23" s="108"/>
      <c r="I23" s="7">
        <v>55</v>
      </c>
      <c r="J23" s="46">
        <v>77479.5</v>
      </c>
      <c r="K23" s="2"/>
      <c r="N23" s="2"/>
      <c r="O23" s="75">
        <v>55</v>
      </c>
      <c r="P23" s="75">
        <v>58</v>
      </c>
      <c r="Q23" s="102" t="str">
        <f t="shared" si="1"/>
        <v>+3</v>
      </c>
    </row>
    <row r="24" spans="1:20" x14ac:dyDescent="0.15">
      <c r="A24" s="1">
        <v>54</v>
      </c>
      <c r="B24" s="106" t="s">
        <v>53</v>
      </c>
      <c r="D24" s="4"/>
      <c r="E24" s="46">
        <v>75228.3</v>
      </c>
      <c r="F24" s="2"/>
      <c r="G24" s="3"/>
      <c r="H24" s="108"/>
      <c r="I24" s="1">
        <v>54</v>
      </c>
      <c r="J24" s="46">
        <v>75228.3</v>
      </c>
      <c r="K24" s="2"/>
      <c r="N24" s="2"/>
      <c r="O24" s="76">
        <v>54</v>
      </c>
      <c r="P24" s="75">
        <v>58</v>
      </c>
      <c r="Q24" s="102" t="str">
        <f t="shared" si="1"/>
        <v>+4</v>
      </c>
    </row>
  </sheetData>
  <mergeCells count="10">
    <mergeCell ref="R6:S6"/>
    <mergeCell ref="L6:L9"/>
    <mergeCell ref="M7:M15"/>
    <mergeCell ref="L15:L20"/>
    <mergeCell ref="A1:C1"/>
    <mergeCell ref="B6:B9"/>
    <mergeCell ref="O6:P6"/>
    <mergeCell ref="G6:G9"/>
    <mergeCell ref="O17:P17"/>
    <mergeCell ref="E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0BB0-7A90-DC42-B442-264B1FE39142}">
  <dimension ref="A1:Z78"/>
  <sheetViews>
    <sheetView workbookViewId="0">
      <selection activeCell="K42" sqref="K42"/>
    </sheetView>
  </sheetViews>
  <sheetFormatPr baseColWidth="10" defaultColWidth="9.1640625" defaultRowHeight="13" x14ac:dyDescent="0.15"/>
  <cols>
    <col min="1" max="1" width="6.33203125" style="2" customWidth="1"/>
    <col min="2" max="3" width="5.6640625" style="2" customWidth="1"/>
    <col min="4" max="4" width="3" style="1" customWidth="1"/>
    <col min="5" max="5" width="11.1640625" style="14" customWidth="1"/>
    <col min="6" max="9" width="8.6640625" style="2" customWidth="1"/>
    <col min="10" max="10" width="6.5" style="2" customWidth="1"/>
    <col min="11" max="11" width="10.1640625" style="2" customWidth="1"/>
    <col min="12" max="12" width="2.6640625" style="2" customWidth="1"/>
    <col min="13" max="14" width="5.6640625" style="2" customWidth="1"/>
    <col min="15" max="15" width="11.83203125" style="2" bestFit="1" customWidth="1"/>
    <col min="16" max="16" width="9.1640625" style="2"/>
    <col min="17" max="17" width="2.6640625" style="2" customWidth="1"/>
    <col min="18" max="19" width="9.1640625" style="2"/>
    <col min="20" max="20" width="2.6640625" style="2" customWidth="1"/>
    <col min="21" max="26" width="5.5" style="1" customWidth="1"/>
    <col min="27" max="16384" width="9.1640625" style="2"/>
  </cols>
  <sheetData>
    <row r="1" spans="1:26" ht="18" customHeight="1" x14ac:dyDescent="0.2">
      <c r="A1" s="167" t="s">
        <v>34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U1" s="2"/>
      <c r="V1" s="2"/>
      <c r="W1" s="2"/>
      <c r="X1" s="2"/>
      <c r="Y1" s="2"/>
      <c r="Z1" s="2"/>
    </row>
    <row r="2" spans="1:26" ht="12" customHeight="1" x14ac:dyDescent="0.15">
      <c r="A2" s="8"/>
      <c r="B2" s="9"/>
      <c r="C2" s="9"/>
      <c r="D2" s="8"/>
      <c r="E2" s="48" t="s">
        <v>26</v>
      </c>
      <c r="F2" s="3"/>
      <c r="G2" s="3"/>
      <c r="H2" s="3"/>
      <c r="I2" s="3"/>
      <c r="U2" s="2"/>
      <c r="V2" s="2"/>
      <c r="W2" s="2"/>
      <c r="X2" s="2"/>
      <c r="Y2" s="2"/>
      <c r="Z2" s="2"/>
    </row>
    <row r="3" spans="1:26" ht="63" customHeight="1" x14ac:dyDescent="0.15">
      <c r="A3" s="45" t="s">
        <v>0</v>
      </c>
      <c r="E3" s="25" t="s">
        <v>27</v>
      </c>
      <c r="F3" s="134" t="s">
        <v>8</v>
      </c>
      <c r="G3" s="135"/>
      <c r="H3" s="121"/>
      <c r="I3" s="121" t="s">
        <v>64</v>
      </c>
      <c r="K3" s="25" t="s">
        <v>29</v>
      </c>
      <c r="U3" s="2"/>
      <c r="V3" s="2"/>
      <c r="W3" s="2"/>
      <c r="X3" s="2"/>
      <c r="Y3" s="2"/>
      <c r="Z3" s="2"/>
    </row>
    <row r="4" spans="1:26" x14ac:dyDescent="0.15">
      <c r="U4" s="2"/>
      <c r="V4" s="2"/>
      <c r="W4" s="2"/>
      <c r="X4" s="2"/>
      <c r="Y4" s="2"/>
      <c r="Z4" s="2"/>
    </row>
    <row r="5" spans="1:26" ht="14.25" customHeight="1" x14ac:dyDescent="0.15">
      <c r="A5" s="27"/>
      <c r="E5" s="28"/>
      <c r="F5" s="7"/>
      <c r="U5" s="2"/>
      <c r="V5" s="2"/>
      <c r="W5" s="2"/>
      <c r="X5" s="2"/>
      <c r="Y5" s="2"/>
      <c r="Z5" s="2"/>
    </row>
    <row r="6" spans="1:26" x14ac:dyDescent="0.15">
      <c r="U6" s="2"/>
      <c r="V6" s="2"/>
      <c r="W6" s="2"/>
      <c r="X6" s="2"/>
      <c r="Y6" s="2"/>
      <c r="Z6" s="2"/>
    </row>
    <row r="7" spans="1:26" ht="13.25" customHeight="1" x14ac:dyDescent="0.15">
      <c r="A7" s="26"/>
      <c r="B7" s="168"/>
      <c r="E7" s="28"/>
      <c r="F7" s="136" t="s">
        <v>14</v>
      </c>
      <c r="I7" s="2" t="s">
        <v>62</v>
      </c>
      <c r="J7" s="2" t="s">
        <v>63</v>
      </c>
      <c r="U7" s="2"/>
      <c r="V7" s="2"/>
      <c r="W7" s="2"/>
      <c r="X7" s="2"/>
      <c r="Y7" s="2"/>
      <c r="Z7" s="2"/>
    </row>
    <row r="8" spans="1:26" ht="13.25" customHeight="1" x14ac:dyDescent="0.15">
      <c r="A8" s="7">
        <v>71</v>
      </c>
      <c r="B8" s="169"/>
      <c r="C8" s="17"/>
      <c r="D8" s="4"/>
      <c r="E8" s="18">
        <v>118399</v>
      </c>
      <c r="F8" s="137"/>
      <c r="G8" s="139" t="s">
        <v>13</v>
      </c>
      <c r="H8" s="119">
        <v>71</v>
      </c>
      <c r="I8" s="120" t="s">
        <v>61</v>
      </c>
      <c r="J8" s="120">
        <v>9.8500999999999994</v>
      </c>
      <c r="K8" s="46">
        <v>124318.95000000001</v>
      </c>
      <c r="U8" s="2"/>
      <c r="V8" s="2"/>
      <c r="W8" s="2"/>
      <c r="X8" s="2"/>
      <c r="Y8" s="2"/>
      <c r="Z8" s="2"/>
    </row>
    <row r="9" spans="1:26" ht="13.25" customHeight="1" x14ac:dyDescent="0.15">
      <c r="A9" s="7">
        <v>70</v>
      </c>
      <c r="B9" s="169"/>
      <c r="C9" s="17"/>
      <c r="D9" s="4"/>
      <c r="E9" s="18">
        <v>114951</v>
      </c>
      <c r="F9" s="137"/>
      <c r="G9" s="140"/>
      <c r="H9" s="119">
        <v>70</v>
      </c>
      <c r="I9" s="120">
        <v>0</v>
      </c>
      <c r="J9" s="120" t="s">
        <v>61</v>
      </c>
      <c r="K9" s="46">
        <v>120698.55</v>
      </c>
      <c r="U9" s="2"/>
      <c r="V9" s="2"/>
      <c r="W9" s="2"/>
      <c r="X9" s="2"/>
      <c r="Y9" s="2"/>
      <c r="Z9" s="2"/>
    </row>
    <row r="10" spans="1:26" ht="13.25" customHeight="1" x14ac:dyDescent="0.15">
      <c r="A10" s="7">
        <v>69</v>
      </c>
      <c r="B10" s="170"/>
      <c r="C10" s="17"/>
      <c r="D10" s="4"/>
      <c r="E10" s="18">
        <v>111603</v>
      </c>
      <c r="F10" s="138"/>
      <c r="G10" s="140"/>
      <c r="H10" s="119">
        <v>69</v>
      </c>
      <c r="I10" s="120" t="s">
        <v>61</v>
      </c>
      <c r="J10" s="120">
        <v>7.46</v>
      </c>
      <c r="K10" s="46">
        <v>117183.15000000001</v>
      </c>
      <c r="U10" s="2"/>
      <c r="V10" s="2"/>
      <c r="W10" s="2"/>
      <c r="X10" s="2"/>
      <c r="Y10" s="2"/>
      <c r="Z10" s="2"/>
    </row>
    <row r="11" spans="1:26" ht="13.25" customHeight="1" x14ac:dyDescent="0.15">
      <c r="A11" s="7">
        <v>68</v>
      </c>
      <c r="C11" s="16"/>
      <c r="D11" s="4"/>
      <c r="E11" s="18">
        <v>108353</v>
      </c>
      <c r="F11" s="12"/>
      <c r="G11" s="140"/>
      <c r="H11" s="119">
        <v>68</v>
      </c>
      <c r="I11" s="120">
        <v>0</v>
      </c>
      <c r="J11" s="120">
        <v>5.2</v>
      </c>
      <c r="K11" s="46">
        <v>113770.65000000001</v>
      </c>
      <c r="U11" s="2"/>
      <c r="V11" s="2"/>
      <c r="W11" s="2"/>
      <c r="X11" s="2"/>
      <c r="Y11" s="2"/>
      <c r="Z11" s="2"/>
    </row>
    <row r="12" spans="1:26" ht="13.25" customHeight="1" x14ac:dyDescent="0.15">
      <c r="A12" s="7">
        <v>67</v>
      </c>
      <c r="C12" s="16"/>
      <c r="D12" s="4"/>
      <c r="E12" s="18">
        <v>105195</v>
      </c>
      <c r="F12" s="12"/>
      <c r="G12" s="140"/>
      <c r="H12" s="119">
        <v>67</v>
      </c>
      <c r="I12" s="120" t="s">
        <v>61</v>
      </c>
      <c r="J12" s="120">
        <v>6.3501000000000003</v>
      </c>
      <c r="K12" s="46">
        <v>110454.75</v>
      </c>
      <c r="U12" s="2"/>
      <c r="V12" s="2"/>
      <c r="W12" s="2"/>
      <c r="X12" s="2"/>
      <c r="Y12" s="2"/>
      <c r="Z12" s="2"/>
    </row>
    <row r="13" spans="1:26" ht="13.25" customHeight="1" x14ac:dyDescent="0.15">
      <c r="A13" s="7">
        <v>66</v>
      </c>
      <c r="C13" s="16"/>
      <c r="D13" s="4"/>
      <c r="E13" s="18">
        <v>102132</v>
      </c>
      <c r="F13" s="12"/>
      <c r="G13" s="140"/>
      <c r="H13" s="119">
        <v>66</v>
      </c>
      <c r="I13" s="120">
        <v>5</v>
      </c>
      <c r="J13" s="120">
        <v>8.4</v>
      </c>
      <c r="K13" s="46">
        <v>107238.6</v>
      </c>
      <c r="U13" s="2"/>
      <c r="V13" s="2"/>
      <c r="W13" s="2"/>
      <c r="X13" s="2"/>
      <c r="Y13" s="2"/>
      <c r="Z13" s="2"/>
    </row>
    <row r="14" spans="1:26" ht="13.25" customHeight="1" x14ac:dyDescent="0.15">
      <c r="A14" s="7">
        <v>65</v>
      </c>
      <c r="C14" s="16"/>
      <c r="D14" s="4"/>
      <c r="E14" s="18">
        <v>99159</v>
      </c>
      <c r="F14" s="12"/>
      <c r="G14" s="140"/>
      <c r="H14" s="119">
        <v>65</v>
      </c>
      <c r="I14" s="120">
        <v>6.2</v>
      </c>
      <c r="J14" s="120">
        <v>10.5</v>
      </c>
      <c r="K14" s="46">
        <v>104116.95000000001</v>
      </c>
      <c r="U14" s="2"/>
      <c r="V14" s="2"/>
      <c r="W14" s="2"/>
      <c r="X14" s="2"/>
      <c r="Y14" s="2"/>
      <c r="Z14" s="2"/>
    </row>
    <row r="15" spans="1:26" ht="13.25" customHeight="1" x14ac:dyDescent="0.15">
      <c r="A15" s="7">
        <v>64</v>
      </c>
      <c r="C15" s="16"/>
      <c r="D15" s="4"/>
      <c r="E15" s="18">
        <v>96270</v>
      </c>
      <c r="F15" s="12"/>
      <c r="G15" s="140"/>
      <c r="H15" s="119">
        <v>64</v>
      </c>
      <c r="I15" s="120" t="s">
        <v>61</v>
      </c>
      <c r="J15" s="120">
        <v>10.9</v>
      </c>
      <c r="K15" s="46">
        <v>101083.5</v>
      </c>
      <c r="U15" s="2"/>
      <c r="V15" s="2"/>
      <c r="W15" s="2"/>
      <c r="X15" s="2"/>
      <c r="Y15" s="2"/>
      <c r="Z15" s="2"/>
    </row>
    <row r="16" spans="1:26" ht="13.25" customHeight="1" x14ac:dyDescent="0.15">
      <c r="A16" s="7">
        <v>63</v>
      </c>
      <c r="C16" s="16"/>
      <c r="D16" s="4"/>
      <c r="E16" s="18">
        <v>93466</v>
      </c>
      <c r="F16" s="12"/>
      <c r="G16" s="140"/>
      <c r="H16" s="119">
        <v>63</v>
      </c>
      <c r="I16" s="120">
        <v>6.8</v>
      </c>
      <c r="J16" s="120">
        <v>12.4</v>
      </c>
      <c r="K16" s="46">
        <v>98139.3</v>
      </c>
      <c r="U16" s="2"/>
      <c r="V16" s="2"/>
      <c r="W16" s="2"/>
      <c r="X16" s="2"/>
      <c r="Y16" s="2"/>
      <c r="Z16" s="2"/>
    </row>
    <row r="17" spans="1:26" ht="13.25" customHeight="1" x14ac:dyDescent="0.15">
      <c r="A17" s="7">
        <v>62</v>
      </c>
      <c r="C17" s="16"/>
      <c r="D17" s="4"/>
      <c r="E17" s="18">
        <v>90745</v>
      </c>
      <c r="F17" s="12"/>
      <c r="G17" s="140"/>
      <c r="H17" s="119">
        <v>62</v>
      </c>
      <c r="I17" s="120">
        <v>6.4</v>
      </c>
      <c r="J17" s="120">
        <v>9.1999999999999993</v>
      </c>
      <c r="K17" s="46">
        <v>95282.25</v>
      </c>
      <c r="U17" s="2"/>
      <c r="V17" s="2"/>
      <c r="W17" s="2"/>
      <c r="X17" s="2"/>
      <c r="Y17" s="2"/>
      <c r="Z17" s="2"/>
    </row>
    <row r="18" spans="1:26" ht="13.25" customHeight="1" x14ac:dyDescent="0.15">
      <c r="A18" s="7">
        <v>61</v>
      </c>
      <c r="C18" s="16"/>
      <c r="D18" s="4"/>
      <c r="E18" s="18">
        <v>88101</v>
      </c>
      <c r="F18" s="12"/>
      <c r="G18" s="140"/>
      <c r="H18" s="119">
        <v>61</v>
      </c>
      <c r="I18" s="120" t="s">
        <v>61</v>
      </c>
      <c r="J18" s="120">
        <v>9.1501000000000001</v>
      </c>
      <c r="K18" s="46">
        <v>92506.05</v>
      </c>
      <c r="U18" s="2"/>
      <c r="V18" s="2"/>
      <c r="W18" s="2"/>
      <c r="X18" s="2"/>
      <c r="Y18" s="2"/>
      <c r="Z18" s="2"/>
    </row>
    <row r="19" spans="1:26" ht="13.25" customHeight="1" x14ac:dyDescent="0.15">
      <c r="A19" s="7">
        <v>60</v>
      </c>
      <c r="B19" s="16"/>
      <c r="C19" s="16"/>
      <c r="D19" s="4"/>
      <c r="E19" s="18">
        <v>85535</v>
      </c>
      <c r="F19" s="142" t="s">
        <v>12</v>
      </c>
      <c r="G19" s="140"/>
      <c r="H19" s="119">
        <v>60</v>
      </c>
      <c r="I19" s="120">
        <v>8.6501000000000001</v>
      </c>
      <c r="J19" s="120">
        <v>11.5</v>
      </c>
      <c r="K19" s="46">
        <v>89811.75</v>
      </c>
      <c r="U19" s="2"/>
      <c r="V19" s="2"/>
      <c r="W19" s="2"/>
      <c r="X19" s="2"/>
      <c r="Y19" s="2"/>
      <c r="Z19" s="2"/>
    </row>
    <row r="20" spans="1:26" ht="13.25" customHeight="1" x14ac:dyDescent="0.15">
      <c r="A20" s="7">
        <v>59</v>
      </c>
      <c r="B20" s="16"/>
      <c r="C20" s="16"/>
      <c r="D20" s="4"/>
      <c r="E20" s="18">
        <v>83045</v>
      </c>
      <c r="F20" s="143"/>
      <c r="G20" s="140"/>
      <c r="H20" s="119">
        <v>59</v>
      </c>
      <c r="I20" s="120">
        <v>6</v>
      </c>
      <c r="J20" s="120">
        <v>8</v>
      </c>
      <c r="K20" s="46">
        <v>87197.25</v>
      </c>
      <c r="U20" s="2"/>
      <c r="V20" s="2"/>
      <c r="W20" s="2"/>
      <c r="X20" s="2"/>
      <c r="Y20" s="2"/>
      <c r="Z20" s="2"/>
    </row>
    <row r="21" spans="1:26" ht="13.25" customHeight="1" x14ac:dyDescent="0.15">
      <c r="A21" s="7">
        <v>58</v>
      </c>
      <c r="B21" s="16"/>
      <c r="C21" s="16"/>
      <c r="D21" s="4"/>
      <c r="E21" s="18">
        <v>80624</v>
      </c>
      <c r="F21" s="143"/>
      <c r="G21" s="141"/>
      <c r="H21" s="119">
        <v>58</v>
      </c>
      <c r="I21" s="120">
        <v>8</v>
      </c>
      <c r="J21" s="120">
        <v>13.6</v>
      </c>
      <c r="K21" s="46">
        <v>84655.2</v>
      </c>
      <c r="U21" s="2"/>
      <c r="V21" s="2"/>
      <c r="W21" s="2"/>
      <c r="X21" s="2"/>
      <c r="Y21" s="2"/>
      <c r="Z21" s="2"/>
    </row>
    <row r="22" spans="1:26" ht="13.25" customHeight="1" x14ac:dyDescent="0.15">
      <c r="A22" s="7">
        <v>57</v>
      </c>
      <c r="B22" s="16"/>
      <c r="C22" s="11"/>
      <c r="D22" s="4"/>
      <c r="E22" s="18">
        <v>78276</v>
      </c>
      <c r="F22" s="140"/>
      <c r="G22" s="26"/>
      <c r="H22" s="119">
        <v>57</v>
      </c>
      <c r="I22" s="120">
        <v>11.8</v>
      </c>
      <c r="J22" s="120">
        <v>10.3</v>
      </c>
      <c r="K22" s="46">
        <v>82189.8</v>
      </c>
      <c r="U22" s="2"/>
      <c r="V22" s="2"/>
      <c r="W22" s="2"/>
      <c r="X22" s="2"/>
      <c r="Y22" s="2"/>
      <c r="Z22" s="2"/>
    </row>
    <row r="23" spans="1:26" ht="13.25" customHeight="1" x14ac:dyDescent="0.15">
      <c r="A23" s="7">
        <v>56</v>
      </c>
      <c r="B23" s="16"/>
      <c r="C23" s="16"/>
      <c r="D23" s="4"/>
      <c r="E23" s="18">
        <v>75995</v>
      </c>
      <c r="F23" s="140"/>
      <c r="G23" s="144" t="s">
        <v>9</v>
      </c>
      <c r="H23" s="119">
        <v>56</v>
      </c>
      <c r="I23" s="120">
        <v>19</v>
      </c>
      <c r="J23" s="120">
        <v>39.799999999999997</v>
      </c>
      <c r="K23" s="46">
        <v>79794.75</v>
      </c>
      <c r="U23" s="2"/>
      <c r="V23" s="2"/>
      <c r="W23" s="2"/>
      <c r="X23" s="2"/>
      <c r="Y23" s="2"/>
      <c r="Z23" s="2"/>
    </row>
    <row r="24" spans="1:26" ht="13.25" customHeight="1" x14ac:dyDescent="0.15">
      <c r="A24" s="7">
        <v>55</v>
      </c>
      <c r="B24" s="16"/>
      <c r="C24" s="16"/>
      <c r="D24" s="4"/>
      <c r="E24" s="18">
        <v>73790</v>
      </c>
      <c r="F24" s="140"/>
      <c r="G24" s="145"/>
      <c r="H24" s="119">
        <v>55</v>
      </c>
      <c r="I24" s="120">
        <v>12.630100000000001</v>
      </c>
      <c r="J24" s="120">
        <v>13.1</v>
      </c>
      <c r="K24" s="46">
        <v>77479.5</v>
      </c>
      <c r="U24" s="2"/>
      <c r="V24" s="2"/>
      <c r="W24" s="2"/>
      <c r="X24" s="2"/>
      <c r="Y24" s="2"/>
      <c r="Z24" s="2"/>
    </row>
    <row r="25" spans="1:26" ht="13.25" customHeight="1" x14ac:dyDescent="0.15">
      <c r="A25" s="1">
        <v>54</v>
      </c>
      <c r="B25" s="29"/>
      <c r="C25" s="29"/>
      <c r="D25" s="4"/>
      <c r="E25" s="18">
        <v>71646</v>
      </c>
      <c r="F25" s="141"/>
      <c r="G25" s="145"/>
      <c r="H25" s="119">
        <v>54</v>
      </c>
      <c r="I25" s="120">
        <v>21.9</v>
      </c>
      <c r="J25" s="120">
        <v>32.5</v>
      </c>
      <c r="K25" s="46">
        <v>75228.3</v>
      </c>
      <c r="U25" s="2"/>
      <c r="V25" s="2"/>
      <c r="W25" s="2"/>
      <c r="X25" s="2"/>
      <c r="Y25" s="2"/>
      <c r="Z25" s="2"/>
    </row>
    <row r="26" spans="1:26" ht="13.25" customHeight="1" x14ac:dyDescent="0.15">
      <c r="A26" s="1">
        <v>53</v>
      </c>
      <c r="B26" s="32"/>
      <c r="C26" s="29"/>
      <c r="D26" s="4"/>
      <c r="E26" s="18">
        <v>69565</v>
      </c>
      <c r="F26" s="12"/>
      <c r="G26" s="137"/>
      <c r="H26" s="119">
        <v>53</v>
      </c>
      <c r="I26" s="120" t="s">
        <v>61</v>
      </c>
      <c r="J26" s="120" t="s">
        <v>61</v>
      </c>
      <c r="K26" s="46">
        <v>73043.25</v>
      </c>
      <c r="U26" s="2"/>
      <c r="V26" s="2"/>
      <c r="W26" s="2"/>
      <c r="X26" s="2"/>
      <c r="Y26" s="2"/>
      <c r="Z26" s="2"/>
    </row>
    <row r="27" spans="1:26" ht="13.25" customHeight="1" x14ac:dyDescent="0.15">
      <c r="A27" s="1">
        <v>52</v>
      </c>
      <c r="B27" s="32"/>
      <c r="C27" s="29"/>
      <c r="D27" s="4"/>
      <c r="E27" s="18">
        <v>67542</v>
      </c>
      <c r="F27" s="12"/>
      <c r="G27" s="137"/>
      <c r="H27" s="119">
        <v>52</v>
      </c>
      <c r="I27" s="120">
        <v>12.9</v>
      </c>
      <c r="J27" s="120">
        <v>7.2</v>
      </c>
      <c r="K27" s="46">
        <v>70919.100000000006</v>
      </c>
      <c r="U27" s="2"/>
      <c r="V27" s="2"/>
      <c r="W27" s="2"/>
      <c r="X27" s="2"/>
      <c r="Y27" s="2"/>
      <c r="Z27" s="2"/>
    </row>
    <row r="28" spans="1:26" ht="13.25" customHeight="1" x14ac:dyDescent="0.15">
      <c r="A28" s="1">
        <v>51</v>
      </c>
      <c r="B28" s="32"/>
      <c r="C28" s="34"/>
      <c r="E28" s="18">
        <v>65578</v>
      </c>
      <c r="F28" s="6"/>
      <c r="G28" s="137"/>
      <c r="H28" s="119">
        <v>51</v>
      </c>
      <c r="I28" s="120">
        <v>13.350099999999999</v>
      </c>
      <c r="J28" s="120">
        <v>16.5</v>
      </c>
      <c r="K28" s="46">
        <v>68857</v>
      </c>
      <c r="U28" s="2"/>
      <c r="V28" s="2"/>
      <c r="W28" s="2"/>
      <c r="X28" s="2"/>
      <c r="Y28" s="2"/>
      <c r="Z28" s="2"/>
    </row>
    <row r="29" spans="1:26" ht="13.25" customHeight="1" x14ac:dyDescent="0.15">
      <c r="A29" s="1">
        <v>50</v>
      </c>
      <c r="B29" s="32"/>
      <c r="C29" s="31"/>
      <c r="E29" s="18">
        <v>63673</v>
      </c>
      <c r="F29" s="6"/>
      <c r="G29" s="137"/>
      <c r="H29" s="119">
        <v>50</v>
      </c>
      <c r="I29" s="120">
        <v>43.457799999999999</v>
      </c>
      <c r="J29" s="120">
        <v>77.8</v>
      </c>
      <c r="K29" s="46">
        <v>66857</v>
      </c>
      <c r="U29" s="2"/>
      <c r="V29" s="2"/>
      <c r="W29" s="2"/>
      <c r="X29" s="2"/>
      <c r="Y29" s="2"/>
      <c r="Z29" s="2"/>
    </row>
    <row r="30" spans="1:26" ht="13.25" customHeight="1" x14ac:dyDescent="0.15">
      <c r="A30" s="1">
        <v>49</v>
      </c>
      <c r="B30" s="35"/>
      <c r="C30" s="31"/>
      <c r="E30" s="18">
        <v>61823</v>
      </c>
      <c r="F30" s="124" t="s">
        <v>10</v>
      </c>
      <c r="G30" s="145"/>
      <c r="H30" s="119">
        <v>49</v>
      </c>
      <c r="I30" s="120">
        <v>43.950400000000002</v>
      </c>
      <c r="J30" s="120">
        <v>47.754799999999996</v>
      </c>
      <c r="K30" s="46">
        <v>64914</v>
      </c>
      <c r="U30" s="2"/>
      <c r="V30" s="2"/>
      <c r="W30" s="2"/>
      <c r="X30" s="2"/>
      <c r="Y30" s="2"/>
      <c r="Z30" s="2"/>
    </row>
    <row r="31" spans="1:26" s="5" customFormat="1" ht="13.25" customHeight="1" x14ac:dyDescent="0.15">
      <c r="A31" s="4">
        <v>48</v>
      </c>
      <c r="B31" s="29"/>
      <c r="C31" s="33" t="s">
        <v>4</v>
      </c>
      <c r="D31" s="4"/>
      <c r="E31" s="18">
        <v>60319</v>
      </c>
      <c r="F31" s="125"/>
      <c r="G31" s="146"/>
      <c r="H31" s="119">
        <v>48</v>
      </c>
      <c r="I31" s="120">
        <v>28.8</v>
      </c>
      <c r="J31" s="120">
        <v>35.5</v>
      </c>
      <c r="K31" s="46">
        <v>63334.950000000004</v>
      </c>
    </row>
    <row r="32" spans="1:26" ht="13.25" customHeight="1" x14ac:dyDescent="0.15">
      <c r="A32" s="1">
        <v>47</v>
      </c>
      <c r="B32" s="29"/>
      <c r="C32" s="36"/>
      <c r="E32" s="18">
        <v>58284</v>
      </c>
      <c r="F32" s="125"/>
      <c r="G32" s="6"/>
      <c r="H32" s="119">
        <v>47</v>
      </c>
      <c r="I32" s="120">
        <v>9.2901000000000007</v>
      </c>
      <c r="J32" s="120">
        <v>6</v>
      </c>
      <c r="K32" s="46">
        <v>61198</v>
      </c>
      <c r="U32" s="2"/>
      <c r="V32" s="2"/>
      <c r="W32" s="2"/>
      <c r="X32" s="2"/>
      <c r="Y32" s="2"/>
      <c r="Z32" s="2"/>
    </row>
    <row r="33" spans="1:26" ht="13.25" customHeight="1" x14ac:dyDescent="0.15">
      <c r="A33" s="1">
        <v>46</v>
      </c>
      <c r="B33" s="29"/>
      <c r="C33" s="32"/>
      <c r="E33" s="18">
        <v>56592</v>
      </c>
      <c r="F33" s="125"/>
      <c r="G33" s="6"/>
      <c r="H33" s="119">
        <v>46</v>
      </c>
      <c r="I33" s="120">
        <v>24.232600000000001</v>
      </c>
      <c r="J33" s="120">
        <v>16.600000000000001</v>
      </c>
      <c r="K33" s="46">
        <v>59421</v>
      </c>
      <c r="U33" s="2"/>
      <c r="V33" s="2"/>
      <c r="W33" s="2"/>
      <c r="X33" s="2"/>
      <c r="Y33" s="2"/>
      <c r="Z33" s="2"/>
    </row>
    <row r="34" spans="1:26" ht="13.25" customHeight="1" x14ac:dyDescent="0.15">
      <c r="A34" s="1">
        <v>45</v>
      </c>
      <c r="B34" s="29"/>
      <c r="C34" s="32"/>
      <c r="E34" s="18">
        <v>54949</v>
      </c>
      <c r="F34" s="125"/>
      <c r="G34" s="6"/>
      <c r="H34" s="119">
        <v>45</v>
      </c>
      <c r="I34" s="120">
        <v>32.5</v>
      </c>
      <c r="J34" s="120">
        <v>34.330100000000002</v>
      </c>
      <c r="K34" s="46">
        <v>57696</v>
      </c>
      <c r="U34" s="2"/>
      <c r="V34" s="2"/>
      <c r="W34" s="2"/>
      <c r="X34" s="2"/>
      <c r="Y34" s="2"/>
      <c r="Z34" s="2"/>
    </row>
    <row r="35" spans="1:26" ht="13.25" customHeight="1" x14ac:dyDescent="0.15">
      <c r="A35" s="1">
        <v>44</v>
      </c>
      <c r="B35" s="30"/>
      <c r="C35" s="32"/>
      <c r="E35" s="18">
        <v>53353</v>
      </c>
      <c r="F35" s="125"/>
      <c r="G35" s="6"/>
      <c r="H35" s="119">
        <v>44</v>
      </c>
      <c r="I35" s="120">
        <v>104.22139999999999</v>
      </c>
      <c r="J35" s="120">
        <v>132.15969999999999</v>
      </c>
      <c r="K35" s="46">
        <v>56021</v>
      </c>
      <c r="U35" s="2"/>
      <c r="V35" s="2"/>
      <c r="W35" s="2"/>
      <c r="X35" s="2"/>
      <c r="Y35" s="2"/>
      <c r="Z35" s="2"/>
    </row>
    <row r="36" spans="1:26" ht="13.25" customHeight="1" x14ac:dyDescent="0.15">
      <c r="A36" s="1">
        <v>43</v>
      </c>
      <c r="B36" s="30"/>
      <c r="C36" s="32"/>
      <c r="E36" s="18">
        <v>51805</v>
      </c>
      <c r="F36" s="125"/>
      <c r="G36" s="6"/>
      <c r="H36" s="119">
        <v>43</v>
      </c>
      <c r="I36" s="120">
        <v>41.7</v>
      </c>
      <c r="J36" s="120">
        <v>49.1</v>
      </c>
      <c r="K36" s="46">
        <v>54395</v>
      </c>
      <c r="U36" s="2"/>
      <c r="V36" s="2"/>
      <c r="W36" s="2"/>
      <c r="X36" s="2"/>
      <c r="Y36" s="2"/>
      <c r="Z36" s="2"/>
    </row>
    <row r="37" spans="1:26" ht="13.25" customHeight="1" x14ac:dyDescent="0.15">
      <c r="A37" s="1">
        <v>42</v>
      </c>
      <c r="B37" s="30"/>
      <c r="C37" s="32"/>
      <c r="E37" s="18">
        <v>50300</v>
      </c>
      <c r="F37" s="125"/>
      <c r="G37" s="6"/>
      <c r="H37" s="119">
        <v>42</v>
      </c>
      <c r="I37" s="120">
        <v>49.019199999999998</v>
      </c>
      <c r="J37" s="120">
        <v>50.6</v>
      </c>
      <c r="K37" s="46">
        <v>52815</v>
      </c>
      <c r="U37" s="2"/>
      <c r="V37" s="2"/>
      <c r="W37" s="2"/>
      <c r="X37" s="2"/>
      <c r="Y37" s="2"/>
      <c r="Z37" s="2"/>
    </row>
    <row r="38" spans="1:26" ht="13.25" customHeight="1" x14ac:dyDescent="0.15">
      <c r="A38" s="1">
        <v>41</v>
      </c>
      <c r="B38" s="30"/>
      <c r="C38" s="29"/>
      <c r="E38" s="18">
        <v>48841</v>
      </c>
      <c r="F38" s="125"/>
      <c r="G38" s="129" t="s">
        <v>11</v>
      </c>
      <c r="H38" s="119">
        <v>41</v>
      </c>
      <c r="I38" s="120">
        <v>69.151499999999999</v>
      </c>
      <c r="J38" s="120">
        <v>79.8</v>
      </c>
      <c r="K38" s="46">
        <v>51283</v>
      </c>
      <c r="U38" s="2"/>
      <c r="V38" s="2"/>
      <c r="W38" s="2"/>
      <c r="X38" s="2"/>
      <c r="Y38" s="2"/>
      <c r="Z38" s="2"/>
    </row>
    <row r="39" spans="1:26" ht="13.25" customHeight="1" x14ac:dyDescent="0.15">
      <c r="A39" s="1">
        <v>40</v>
      </c>
      <c r="B39" s="30"/>
      <c r="C39" s="29"/>
      <c r="E39" s="18">
        <v>47423</v>
      </c>
      <c r="F39" s="126"/>
      <c r="G39" s="147"/>
      <c r="H39" s="119">
        <v>40</v>
      </c>
      <c r="I39" s="120">
        <v>102.2542</v>
      </c>
      <c r="J39" s="120">
        <v>74.600300000000004</v>
      </c>
      <c r="K39" s="46">
        <v>49794</v>
      </c>
      <c r="U39" s="2"/>
      <c r="V39" s="2"/>
      <c r="W39" s="2"/>
      <c r="X39" s="2"/>
      <c r="Y39" s="2"/>
      <c r="Z39" s="2"/>
    </row>
    <row r="40" spans="1:26" ht="13.25" customHeight="1" x14ac:dyDescent="0.15">
      <c r="A40" s="1">
        <v>39</v>
      </c>
      <c r="B40" s="37" t="s">
        <v>7</v>
      </c>
      <c r="C40" s="29"/>
      <c r="D40" s="6"/>
      <c r="E40" s="18">
        <v>46047</v>
      </c>
      <c r="F40" s="15"/>
      <c r="G40" s="147"/>
      <c r="H40" s="119">
        <v>39</v>
      </c>
      <c r="I40" s="120">
        <v>40.932899999999997</v>
      </c>
      <c r="J40" s="120">
        <v>47.6907</v>
      </c>
      <c r="K40" s="46">
        <v>48350</v>
      </c>
      <c r="U40" s="2"/>
      <c r="V40" s="2"/>
      <c r="W40" s="2"/>
      <c r="X40" s="2"/>
      <c r="Y40" s="2"/>
      <c r="Z40" s="2"/>
    </row>
    <row r="41" spans="1:26" ht="13.25" customHeight="1" x14ac:dyDescent="0.15">
      <c r="A41" s="1"/>
      <c r="B41" s="39"/>
      <c r="C41" s="6"/>
      <c r="D41" s="6"/>
      <c r="E41" s="18"/>
      <c r="F41" s="15"/>
      <c r="G41" s="147"/>
      <c r="H41" s="119"/>
      <c r="I41" s="120"/>
      <c r="J41" s="120"/>
      <c r="K41" s="46"/>
      <c r="U41" s="2"/>
      <c r="V41" s="2"/>
      <c r="W41" s="2"/>
      <c r="X41" s="2"/>
      <c r="Y41" s="2"/>
      <c r="Z41" s="2"/>
    </row>
    <row r="42" spans="1:26" ht="13.25" customHeight="1" x14ac:dyDescent="0.15">
      <c r="A42" s="1">
        <v>38</v>
      </c>
      <c r="B42" s="32"/>
      <c r="C42" s="29"/>
      <c r="E42" s="18">
        <v>44737</v>
      </c>
      <c r="F42" s="6"/>
      <c r="G42" s="147"/>
      <c r="H42" s="119">
        <v>38</v>
      </c>
      <c r="I42" s="120">
        <v>39.414499999999997</v>
      </c>
      <c r="J42" s="120">
        <v>44.3</v>
      </c>
      <c r="K42" s="46"/>
      <c r="U42" s="2"/>
      <c r="V42" s="2"/>
      <c r="W42" s="2"/>
      <c r="X42" s="2"/>
      <c r="Y42" s="2"/>
      <c r="Z42" s="2"/>
    </row>
    <row r="43" spans="1:26" ht="13.25" customHeight="1" x14ac:dyDescent="0.15">
      <c r="A43" s="1">
        <v>37</v>
      </c>
      <c r="B43" s="32"/>
      <c r="C43" s="29"/>
      <c r="E43" s="18">
        <v>43414</v>
      </c>
      <c r="F43" s="6"/>
      <c r="G43" s="147"/>
      <c r="H43" s="119">
        <v>37</v>
      </c>
      <c r="I43" s="120">
        <v>244.92169999999999</v>
      </c>
      <c r="J43" s="120">
        <v>234.57769999999999</v>
      </c>
      <c r="K43" s="46">
        <v>46974</v>
      </c>
      <c r="U43" s="2"/>
      <c r="V43" s="2"/>
      <c r="W43" s="2"/>
      <c r="X43" s="2"/>
      <c r="Y43" s="2"/>
      <c r="Z43" s="2"/>
    </row>
    <row r="44" spans="1:26" ht="13.25" customHeight="1" x14ac:dyDescent="0.15">
      <c r="A44" s="1">
        <v>36</v>
      </c>
      <c r="B44" s="32"/>
      <c r="C44" s="30"/>
      <c r="E44" s="18">
        <v>42155</v>
      </c>
      <c r="F44" s="6"/>
      <c r="G44" s="147"/>
      <c r="H44" s="119">
        <v>36</v>
      </c>
      <c r="I44" s="120">
        <v>101.74930000000001</v>
      </c>
      <c r="J44" s="120">
        <v>73.653400000000005</v>
      </c>
      <c r="K44" s="46">
        <v>45585</v>
      </c>
      <c r="U44" s="2"/>
      <c r="V44" s="2"/>
      <c r="W44" s="2"/>
      <c r="X44" s="2"/>
      <c r="Y44" s="2"/>
      <c r="Z44" s="2"/>
    </row>
    <row r="45" spans="1:26" ht="13.25" customHeight="1" x14ac:dyDescent="0.15">
      <c r="A45" s="1">
        <v>35</v>
      </c>
      <c r="B45" s="32"/>
      <c r="C45" s="30"/>
      <c r="E45" s="18">
        <v>40931</v>
      </c>
      <c r="F45" s="6"/>
      <c r="G45" s="147"/>
      <c r="H45" s="119">
        <v>35</v>
      </c>
      <c r="I45" s="120">
        <v>83.559100000000001</v>
      </c>
      <c r="J45" s="120">
        <v>73.347399999999993</v>
      </c>
      <c r="K45" s="46">
        <v>44263</v>
      </c>
      <c r="U45" s="2"/>
      <c r="V45" s="2"/>
      <c r="W45" s="2"/>
      <c r="X45" s="2"/>
      <c r="Y45" s="2"/>
      <c r="Z45" s="2"/>
    </row>
    <row r="46" spans="1:26" ht="13.25" customHeight="1" x14ac:dyDescent="0.15">
      <c r="A46" s="1">
        <v>34</v>
      </c>
      <c r="B46" s="32"/>
      <c r="C46" s="37" t="s">
        <v>6</v>
      </c>
      <c r="E46" s="18">
        <v>39745</v>
      </c>
      <c r="F46" s="6"/>
      <c r="G46" s="147"/>
      <c r="H46" s="119">
        <v>34</v>
      </c>
      <c r="I46" s="120">
        <v>354.02010000000001</v>
      </c>
      <c r="J46" s="120">
        <v>267.96359999999999</v>
      </c>
      <c r="K46" s="46">
        <v>42978</v>
      </c>
      <c r="U46" s="2"/>
      <c r="V46" s="2"/>
      <c r="W46" s="2"/>
      <c r="X46" s="2"/>
      <c r="Y46" s="2"/>
      <c r="Z46" s="2"/>
    </row>
    <row r="47" spans="1:26" s="19" customFormat="1" ht="13.25" customHeight="1" x14ac:dyDescent="0.15">
      <c r="A47" s="21">
        <v>33</v>
      </c>
      <c r="B47" s="41"/>
      <c r="C47" s="42"/>
      <c r="D47" s="21"/>
      <c r="E47" s="24">
        <v>38592</v>
      </c>
      <c r="F47" s="19" t="s">
        <v>28</v>
      </c>
      <c r="G47" s="21"/>
      <c r="H47" s="119"/>
      <c r="I47" s="120"/>
      <c r="J47" s="120"/>
      <c r="K47" s="46">
        <v>41732</v>
      </c>
    </row>
    <row r="48" spans="1:26" s="19" customFormat="1" ht="13.25" customHeight="1" x14ac:dyDescent="0.15">
      <c r="A48" s="21">
        <v>32</v>
      </c>
      <c r="B48" s="41"/>
      <c r="C48" s="42"/>
      <c r="D48" s="21"/>
      <c r="E48" s="24">
        <v>37474</v>
      </c>
      <c r="F48" s="19" t="s">
        <v>28</v>
      </c>
      <c r="G48" s="21"/>
      <c r="H48" s="119"/>
      <c r="I48" s="120"/>
      <c r="J48" s="120"/>
      <c r="K48" s="47">
        <v>40521</v>
      </c>
    </row>
    <row r="49" spans="1:26" ht="13.25" customHeight="1" x14ac:dyDescent="0.15">
      <c r="A49" s="1">
        <v>31</v>
      </c>
      <c r="B49" s="29"/>
      <c r="C49" s="32"/>
      <c r="E49" s="18">
        <v>36386</v>
      </c>
      <c r="F49" s="124" t="s">
        <v>15</v>
      </c>
      <c r="G49" s="129" t="s">
        <v>16</v>
      </c>
      <c r="H49" s="119">
        <v>31</v>
      </c>
      <c r="I49" s="120">
        <v>22.54</v>
      </c>
      <c r="J49" s="120">
        <v>24.122499999999999</v>
      </c>
      <c r="K49" s="47">
        <v>39347</v>
      </c>
      <c r="U49" s="2"/>
      <c r="V49" s="2"/>
      <c r="W49" s="2"/>
      <c r="X49" s="2"/>
      <c r="Y49" s="2"/>
      <c r="Z49" s="2"/>
    </row>
    <row r="50" spans="1:26" ht="13.25" customHeight="1" x14ac:dyDescent="0.15">
      <c r="A50" s="1">
        <v>30</v>
      </c>
      <c r="B50" s="29"/>
      <c r="C50" s="32"/>
      <c r="E50" s="18">
        <v>35333</v>
      </c>
      <c r="F50" s="127"/>
      <c r="G50" s="129"/>
      <c r="H50" s="119">
        <v>30</v>
      </c>
      <c r="I50" s="120">
        <v>16.38</v>
      </c>
      <c r="J50" s="120">
        <v>7.5</v>
      </c>
      <c r="K50" s="46">
        <v>38205</v>
      </c>
      <c r="U50" s="2"/>
      <c r="V50" s="2"/>
      <c r="W50" s="2"/>
      <c r="X50" s="2"/>
      <c r="Y50" s="2"/>
      <c r="Z50" s="2"/>
    </row>
    <row r="51" spans="1:26" ht="13.25" customHeight="1" x14ac:dyDescent="0.15">
      <c r="A51" s="1">
        <v>29</v>
      </c>
      <c r="B51" s="29"/>
      <c r="C51" s="32"/>
      <c r="E51" s="18">
        <v>34308</v>
      </c>
      <c r="F51" s="127"/>
      <c r="G51" s="129"/>
      <c r="H51" s="119">
        <v>29</v>
      </c>
      <c r="I51" s="120">
        <v>29.876799999999999</v>
      </c>
      <c r="J51" s="120">
        <v>9.1999999999999993</v>
      </c>
      <c r="K51" s="46">
        <v>37099</v>
      </c>
      <c r="U51" s="2"/>
      <c r="V51" s="2"/>
      <c r="W51" s="2"/>
      <c r="X51" s="2"/>
      <c r="Y51" s="2"/>
      <c r="Z51" s="2"/>
    </row>
    <row r="52" spans="1:26" ht="13.25" customHeight="1" x14ac:dyDescent="0.15">
      <c r="A52" s="1">
        <v>28</v>
      </c>
      <c r="B52" s="29"/>
      <c r="C52" s="32"/>
      <c r="E52" s="18">
        <v>33314</v>
      </c>
      <c r="F52" s="127"/>
      <c r="G52" s="129"/>
      <c r="H52" s="119">
        <v>28</v>
      </c>
      <c r="I52" s="120">
        <v>209.43639999999999</v>
      </c>
      <c r="J52" s="120">
        <v>119.3967</v>
      </c>
      <c r="K52" s="46">
        <v>36024</v>
      </c>
      <c r="U52" s="2"/>
      <c r="V52" s="2"/>
      <c r="W52" s="2"/>
      <c r="X52" s="2"/>
      <c r="Y52" s="2"/>
      <c r="Z52" s="2"/>
    </row>
    <row r="53" spans="1:26" ht="13.25" customHeight="1" x14ac:dyDescent="0.15">
      <c r="A53" s="1">
        <v>27</v>
      </c>
      <c r="B53" s="30"/>
      <c r="C53" s="32"/>
      <c r="E53" s="18">
        <v>32348</v>
      </c>
      <c r="F53" s="127"/>
      <c r="G53" s="129"/>
      <c r="H53" s="119">
        <v>27</v>
      </c>
      <c r="I53" s="120">
        <v>81.137799999999999</v>
      </c>
      <c r="J53" s="120">
        <v>49.621899999999997</v>
      </c>
      <c r="K53" s="46">
        <v>34980</v>
      </c>
      <c r="U53" s="2"/>
      <c r="V53" s="2"/>
      <c r="W53" s="2"/>
      <c r="X53" s="2"/>
      <c r="Y53" s="2"/>
      <c r="Z53" s="2"/>
    </row>
    <row r="54" spans="1:26" ht="13.25" customHeight="1" x14ac:dyDescent="0.15">
      <c r="A54" s="1">
        <v>26</v>
      </c>
      <c r="B54" s="30"/>
      <c r="C54" s="32"/>
      <c r="E54" s="18">
        <v>31411</v>
      </c>
      <c r="F54" s="127"/>
      <c r="G54" s="129"/>
      <c r="H54" s="119">
        <v>26</v>
      </c>
      <c r="I54" s="120">
        <v>82.421299999999988</v>
      </c>
      <c r="J54" s="120">
        <v>50.331499999999998</v>
      </c>
      <c r="K54" s="46">
        <v>33966</v>
      </c>
      <c r="U54" s="2"/>
      <c r="V54" s="2"/>
      <c r="W54" s="2"/>
      <c r="X54" s="2"/>
      <c r="Y54" s="2"/>
      <c r="Z54" s="2"/>
    </row>
    <row r="55" spans="1:26" s="5" customFormat="1" ht="13.25" customHeight="1" x14ac:dyDescent="0.15">
      <c r="A55" s="4">
        <v>25</v>
      </c>
      <c r="B55" s="37" t="s">
        <v>5</v>
      </c>
      <c r="C55" s="40"/>
      <c r="D55" s="4"/>
      <c r="E55" s="18">
        <v>30502</v>
      </c>
      <c r="F55" s="128"/>
      <c r="G55" s="13"/>
      <c r="H55" s="119">
        <v>25</v>
      </c>
      <c r="I55" s="120">
        <v>241.99020000000002</v>
      </c>
      <c r="J55" s="120">
        <v>128.67529999999999</v>
      </c>
      <c r="K55" s="46">
        <v>32982</v>
      </c>
    </row>
    <row r="56" spans="1:26" s="19" customFormat="1" ht="13.25" customHeight="1" x14ac:dyDescent="0.15">
      <c r="A56" s="21">
        <v>24</v>
      </c>
      <c r="B56" s="41"/>
      <c r="C56" s="41"/>
      <c r="D56" s="21"/>
      <c r="E56" s="20">
        <v>29619</v>
      </c>
      <c r="F56" s="19" t="s">
        <v>28</v>
      </c>
      <c r="G56" s="43"/>
      <c r="H56" s="119"/>
      <c r="I56" s="120"/>
      <c r="J56" s="120"/>
      <c r="K56" s="46">
        <v>32332</v>
      </c>
    </row>
    <row r="57" spans="1:26" s="19" customFormat="1" ht="13.25" customHeight="1" x14ac:dyDescent="0.15">
      <c r="A57" s="21">
        <v>23</v>
      </c>
      <c r="C57" s="41"/>
      <c r="D57" s="21"/>
      <c r="E57" s="20">
        <v>28762</v>
      </c>
      <c r="F57" s="19" t="s">
        <v>28</v>
      </c>
      <c r="G57" s="43"/>
      <c r="H57" s="119">
        <v>23</v>
      </c>
      <c r="I57" s="120">
        <v>2.7400000000000001E-2</v>
      </c>
      <c r="J57" s="120" t="s">
        <v>61</v>
      </c>
      <c r="K57" s="47">
        <v>31396</v>
      </c>
    </row>
    <row r="58" spans="1:26" ht="13.25" customHeight="1" x14ac:dyDescent="0.15">
      <c r="A58" s="1">
        <v>22</v>
      </c>
      <c r="B58" s="32"/>
      <c r="C58" s="30"/>
      <c r="E58" s="18">
        <v>27929</v>
      </c>
      <c r="F58" s="6"/>
      <c r="G58" s="6"/>
      <c r="H58" s="119">
        <v>22</v>
      </c>
      <c r="I58" s="120">
        <v>10.311</v>
      </c>
      <c r="J58" s="120">
        <v>18</v>
      </c>
      <c r="K58" s="47">
        <v>30487</v>
      </c>
      <c r="U58" s="2"/>
      <c r="V58" s="2"/>
      <c r="W58" s="2"/>
      <c r="X58" s="2"/>
      <c r="Y58" s="2"/>
      <c r="Z58" s="2"/>
    </row>
    <row r="59" spans="1:26" ht="13.25" customHeight="1" x14ac:dyDescent="0.15">
      <c r="A59" s="1">
        <v>21</v>
      </c>
      <c r="B59" s="32"/>
      <c r="C59" s="30"/>
      <c r="E59" s="18">
        <v>27131</v>
      </c>
      <c r="F59" s="6"/>
      <c r="G59" s="6"/>
      <c r="H59" s="119">
        <v>21</v>
      </c>
      <c r="I59" s="120">
        <v>13.1753</v>
      </c>
      <c r="J59" s="120" t="s">
        <v>61</v>
      </c>
      <c r="K59" s="46">
        <v>29605</v>
      </c>
      <c r="U59" s="2"/>
      <c r="V59" s="2"/>
      <c r="W59" s="2"/>
      <c r="X59" s="2"/>
      <c r="Y59" s="2"/>
      <c r="Z59" s="2"/>
    </row>
    <row r="60" spans="1:26" ht="13.25" customHeight="1" x14ac:dyDescent="0.15">
      <c r="A60" s="1">
        <v>20</v>
      </c>
      <c r="B60" s="32"/>
      <c r="C60" s="30"/>
      <c r="E60" s="18">
        <v>26396</v>
      </c>
      <c r="F60" s="6"/>
      <c r="G60" s="6"/>
      <c r="H60" s="119">
        <v>20</v>
      </c>
      <c r="I60" s="120">
        <v>125.5663</v>
      </c>
      <c r="J60" s="120">
        <v>69.108999999999995</v>
      </c>
      <c r="K60" s="46">
        <v>28759</v>
      </c>
      <c r="U60" s="2"/>
      <c r="V60" s="2"/>
      <c r="W60" s="2"/>
      <c r="X60" s="2"/>
      <c r="Y60" s="2"/>
      <c r="Z60" s="2"/>
    </row>
    <row r="61" spans="1:26" ht="13.25" customHeight="1" x14ac:dyDescent="0.15">
      <c r="A61" s="1">
        <v>19</v>
      </c>
      <c r="B61" s="32"/>
      <c r="C61" s="30"/>
      <c r="E61" s="18">
        <v>25642</v>
      </c>
      <c r="F61" s="6"/>
      <c r="G61" s="6"/>
      <c r="H61" s="119">
        <v>19</v>
      </c>
      <c r="I61" s="120">
        <v>32.915100000000002</v>
      </c>
      <c r="J61" s="120">
        <v>19.0671</v>
      </c>
      <c r="K61" s="46">
        <v>27979</v>
      </c>
      <c r="U61" s="2"/>
      <c r="V61" s="2"/>
      <c r="W61" s="2"/>
      <c r="X61" s="2"/>
      <c r="Y61" s="2"/>
      <c r="Z61" s="2"/>
    </row>
    <row r="62" spans="1:26" ht="13.25" customHeight="1" x14ac:dyDescent="0.15">
      <c r="A62" s="1">
        <v>18</v>
      </c>
      <c r="B62" s="39"/>
      <c r="C62" s="37" t="s">
        <v>1</v>
      </c>
      <c r="E62" s="18">
        <v>24948</v>
      </c>
      <c r="F62" s="6"/>
      <c r="G62" s="6"/>
      <c r="H62" s="119">
        <v>18</v>
      </c>
      <c r="I62" s="120">
        <v>322.3073</v>
      </c>
      <c r="J62" s="120">
        <v>129.14790000000002</v>
      </c>
      <c r="K62" s="46">
        <v>27181</v>
      </c>
      <c r="U62" s="2"/>
      <c r="V62" s="2"/>
      <c r="W62" s="2"/>
      <c r="X62" s="2"/>
      <c r="Y62" s="2"/>
      <c r="Z62" s="2"/>
    </row>
    <row r="63" spans="1:26" s="19" customFormat="1" ht="13.25" customHeight="1" x14ac:dyDescent="0.15">
      <c r="A63" s="21"/>
      <c r="B63" s="42"/>
      <c r="C63" s="42"/>
      <c r="D63" s="21"/>
      <c r="E63" s="44"/>
      <c r="F63" s="19" t="s">
        <v>28</v>
      </c>
      <c r="G63" s="22"/>
      <c r="H63" s="6"/>
      <c r="I63" s="6"/>
      <c r="J63" s="2"/>
      <c r="K63" s="46">
        <v>26444</v>
      </c>
    </row>
    <row r="64" spans="1:26" s="19" customFormat="1" ht="13.25" customHeight="1" x14ac:dyDescent="0.15">
      <c r="A64" s="21"/>
      <c r="B64" s="42"/>
      <c r="C64" s="42"/>
      <c r="D64" s="21"/>
      <c r="E64" s="44"/>
      <c r="F64" s="19" t="s">
        <v>28</v>
      </c>
      <c r="H64" s="22"/>
      <c r="I64" s="22"/>
      <c r="K64" s="47">
        <v>25742</v>
      </c>
    </row>
    <row r="65" spans="1:26" ht="13.25" customHeight="1" x14ac:dyDescent="0.15">
      <c r="A65" s="1" t="s">
        <v>25</v>
      </c>
      <c r="B65" s="37"/>
      <c r="C65" s="32"/>
      <c r="E65" s="18">
        <v>24587</v>
      </c>
      <c r="H65" s="119" t="s">
        <v>25</v>
      </c>
      <c r="I65" s="120">
        <v>9.6999999999999993</v>
      </c>
      <c r="J65" s="120" t="s">
        <v>61</v>
      </c>
      <c r="K65" s="47">
        <v>25138</v>
      </c>
      <c r="U65" s="2"/>
      <c r="V65" s="2"/>
      <c r="W65" s="2"/>
      <c r="X65" s="2"/>
      <c r="Y65" s="2"/>
      <c r="Z65" s="2"/>
    </row>
    <row r="66" spans="1:26" ht="13.25" customHeight="1" x14ac:dyDescent="0.15">
      <c r="A66" s="1" t="s">
        <v>24</v>
      </c>
      <c r="B66" s="37"/>
      <c r="C66" s="32"/>
      <c r="E66" s="18">
        <v>24105</v>
      </c>
      <c r="H66" s="119" t="s">
        <v>24</v>
      </c>
      <c r="I66" s="120" t="s">
        <v>61</v>
      </c>
      <c r="J66" s="120" t="s">
        <v>61</v>
      </c>
      <c r="K66" s="46">
        <v>24533</v>
      </c>
      <c r="U66" s="2"/>
      <c r="V66" s="2"/>
      <c r="W66" s="2"/>
      <c r="X66" s="2"/>
      <c r="Y66" s="2"/>
      <c r="Z66" s="2"/>
    </row>
    <row r="67" spans="1:26" ht="13.25" customHeight="1" x14ac:dyDescent="0.15">
      <c r="A67" s="1" t="s">
        <v>23</v>
      </c>
      <c r="B67" s="30"/>
      <c r="C67" s="32"/>
      <c r="E67" s="18">
        <v>23632</v>
      </c>
      <c r="H67" s="119" t="s">
        <v>23</v>
      </c>
      <c r="I67" s="120">
        <v>38.139600000000002</v>
      </c>
      <c r="J67" s="120">
        <v>43.219099999999997</v>
      </c>
      <c r="K67" s="46">
        <v>24248</v>
      </c>
    </row>
    <row r="68" spans="1:26" ht="13.25" customHeight="1" x14ac:dyDescent="0.15">
      <c r="A68" s="1" t="s">
        <v>22</v>
      </c>
      <c r="B68" s="30"/>
      <c r="C68" s="32"/>
      <c r="E68" s="18">
        <v>23169</v>
      </c>
      <c r="H68" s="119" t="s">
        <v>22</v>
      </c>
      <c r="I68" s="120">
        <v>62.371899999999997</v>
      </c>
      <c r="J68" s="120">
        <v>48.662200000000006</v>
      </c>
      <c r="K68" s="46">
        <v>23700</v>
      </c>
    </row>
    <row r="69" spans="1:26" ht="13.25" customHeight="1" x14ac:dyDescent="0.15">
      <c r="A69" s="1" t="s">
        <v>21</v>
      </c>
      <c r="B69" s="37" t="s">
        <v>2</v>
      </c>
      <c r="C69" s="39"/>
      <c r="E69" s="18">
        <v>22715</v>
      </c>
      <c r="H69" s="119" t="s">
        <v>21</v>
      </c>
      <c r="I69" s="120">
        <v>169.44279999999998</v>
      </c>
      <c r="J69" s="120">
        <v>81.4148</v>
      </c>
      <c r="K69" s="46">
        <v>23144</v>
      </c>
    </row>
    <row r="70" spans="1:26" s="19" customFormat="1" ht="13.25" customHeight="1" x14ac:dyDescent="0.15">
      <c r="A70" s="21"/>
      <c r="B70" s="42"/>
      <c r="C70" s="42"/>
      <c r="D70" s="21"/>
      <c r="E70" s="44"/>
      <c r="F70" s="19" t="s">
        <v>28</v>
      </c>
      <c r="H70" s="122"/>
      <c r="I70" s="123"/>
      <c r="J70" s="123"/>
      <c r="K70" s="46">
        <v>22681</v>
      </c>
      <c r="M70" s="2"/>
      <c r="N70" s="2"/>
      <c r="O70" s="2"/>
      <c r="P70" s="2"/>
      <c r="Q70" s="2"/>
      <c r="R70" s="2"/>
      <c r="S70" s="2"/>
      <c r="T70" s="2"/>
      <c r="U70" s="1"/>
      <c r="V70" s="1"/>
      <c r="W70" s="1"/>
      <c r="X70" s="1"/>
      <c r="Y70" s="1"/>
      <c r="Z70" s="1"/>
    </row>
    <row r="71" spans="1:26" s="19" customFormat="1" ht="13.25" customHeight="1" x14ac:dyDescent="0.15">
      <c r="A71" s="21"/>
      <c r="B71" s="42"/>
      <c r="C71" s="42"/>
      <c r="D71" s="21"/>
      <c r="E71" s="44"/>
      <c r="F71" s="19" t="s">
        <v>28</v>
      </c>
      <c r="H71" s="122"/>
      <c r="I71" s="123"/>
      <c r="J71" s="123"/>
      <c r="K71" s="47">
        <v>22214</v>
      </c>
      <c r="M71" s="2"/>
      <c r="N71" s="2"/>
      <c r="O71" s="2"/>
      <c r="P71" s="2"/>
      <c r="Q71" s="2"/>
      <c r="R71" s="2"/>
      <c r="S71" s="2"/>
      <c r="T71" s="2"/>
      <c r="U71" s="1"/>
      <c r="V71" s="1"/>
      <c r="W71" s="1"/>
      <c r="X71" s="1"/>
      <c r="Y71" s="1"/>
      <c r="Z71" s="1"/>
    </row>
    <row r="72" spans="1:26" ht="13.25" customHeight="1" x14ac:dyDescent="0.15">
      <c r="A72" s="1" t="s">
        <v>20</v>
      </c>
      <c r="B72" s="32"/>
      <c r="C72" s="10"/>
      <c r="E72" s="18">
        <v>21633</v>
      </c>
      <c r="H72" s="119" t="s">
        <v>20</v>
      </c>
      <c r="I72" s="120">
        <v>0</v>
      </c>
      <c r="J72" s="120">
        <v>0</v>
      </c>
      <c r="K72" s="47">
        <v>21828</v>
      </c>
    </row>
    <row r="73" spans="1:26" ht="13.25" customHeight="1" x14ac:dyDescent="0.15">
      <c r="A73" s="1" t="s">
        <v>19</v>
      </c>
      <c r="B73" s="39"/>
      <c r="C73" s="10"/>
      <c r="E73" s="18">
        <v>21313</v>
      </c>
      <c r="H73" s="119" t="s">
        <v>19</v>
      </c>
      <c r="I73" s="120">
        <v>78.883099999999999</v>
      </c>
      <c r="J73" s="120">
        <v>63.263199999999998</v>
      </c>
      <c r="K73" s="46">
        <v>21543</v>
      </c>
    </row>
    <row r="74" spans="1:26" ht="13.25" customHeight="1" x14ac:dyDescent="0.15">
      <c r="A74" s="1" t="s">
        <v>18</v>
      </c>
      <c r="B74" s="32"/>
      <c r="C74" s="30"/>
      <c r="E74" s="18">
        <v>20998</v>
      </c>
      <c r="H74" s="119" t="s">
        <v>18</v>
      </c>
      <c r="I74" s="120">
        <v>20.4819</v>
      </c>
      <c r="J74" s="120">
        <v>10.988099999999999</v>
      </c>
      <c r="K74" s="46">
        <v>21254</v>
      </c>
    </row>
    <row r="75" spans="1:26" ht="13.25" customHeight="1" x14ac:dyDescent="0.15">
      <c r="A75" s="1" t="s">
        <v>17</v>
      </c>
      <c r="B75" s="39"/>
      <c r="C75" s="37" t="s">
        <v>3</v>
      </c>
      <c r="E75" s="18">
        <v>20688</v>
      </c>
      <c r="H75" s="119" t="s">
        <v>17</v>
      </c>
      <c r="I75" s="120">
        <v>15.7325</v>
      </c>
      <c r="J75" s="120">
        <v>19.110499999999998</v>
      </c>
      <c r="K75" s="46">
        <v>20948</v>
      </c>
    </row>
    <row r="76" spans="1:26" x14ac:dyDescent="0.15">
      <c r="E76" s="2"/>
      <c r="F76" s="19" t="s">
        <v>28</v>
      </c>
      <c r="K76" s="46">
        <v>20880</v>
      </c>
    </row>
    <row r="77" spans="1:26" x14ac:dyDescent="0.15">
      <c r="F77" s="19" t="s">
        <v>28</v>
      </c>
      <c r="K77" s="47">
        <v>20619</v>
      </c>
    </row>
    <row r="78" spans="1:26" x14ac:dyDescent="0.15">
      <c r="K78" s="47">
        <v>20410</v>
      </c>
    </row>
  </sheetData>
  <mergeCells count="11">
    <mergeCell ref="A1:K1"/>
    <mergeCell ref="F3:G3"/>
    <mergeCell ref="B7:B10"/>
    <mergeCell ref="F7:F10"/>
    <mergeCell ref="G8:G21"/>
    <mergeCell ref="G38:G46"/>
    <mergeCell ref="F49:F55"/>
    <mergeCell ref="G49:G54"/>
    <mergeCell ref="F19:F25"/>
    <mergeCell ref="G23:G31"/>
    <mergeCell ref="F30:F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81"/>
  <sheetViews>
    <sheetView topLeftCell="A4" zoomScale="120" zoomScaleNormal="120" workbookViewId="0">
      <selection activeCell="N31" sqref="N31"/>
    </sheetView>
  </sheetViews>
  <sheetFormatPr baseColWidth="10" defaultColWidth="9.1640625" defaultRowHeight="13" x14ac:dyDescent="0.15"/>
  <cols>
    <col min="1" max="1" width="6.33203125" style="2" customWidth="1"/>
    <col min="2" max="3" width="5.6640625" style="2" customWidth="1"/>
    <col min="4" max="4" width="3" style="1" customWidth="1"/>
    <col min="5" max="5" width="11.1640625" style="14" hidden="1" customWidth="1"/>
    <col min="6" max="7" width="8.6640625" style="2" customWidth="1"/>
    <col min="8" max="8" width="2.6640625" style="2" customWidth="1"/>
    <col min="9" max="9" width="10.1640625" style="2" customWidth="1"/>
    <col min="10" max="10" width="2.6640625" style="2" customWidth="1"/>
    <col min="11" max="12" width="5.6640625" style="2" customWidth="1"/>
    <col min="13" max="13" width="11.83203125" style="2" bestFit="1" customWidth="1"/>
    <col min="14" max="14" width="9.1640625" style="2"/>
    <col min="15" max="15" width="2.6640625" style="2" customWidth="1"/>
    <col min="16" max="17" width="9.1640625" style="2"/>
    <col min="18" max="18" width="2.6640625" style="2" customWidth="1"/>
    <col min="19" max="24" width="5.5" style="1" customWidth="1"/>
    <col min="25" max="16384" width="9.1640625" style="2"/>
  </cols>
  <sheetData>
    <row r="1" spans="1:24" ht="18" customHeight="1" x14ac:dyDescent="0.2">
      <c r="A1" s="167" t="s">
        <v>34</v>
      </c>
      <c r="B1" s="167"/>
      <c r="C1" s="167"/>
      <c r="D1" s="167"/>
      <c r="E1" s="167"/>
      <c r="F1" s="167"/>
      <c r="G1" s="167"/>
      <c r="H1" s="167"/>
      <c r="I1" s="167"/>
      <c r="K1" s="174" t="s">
        <v>51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6"/>
    </row>
    <row r="2" spans="1:24" ht="12" customHeight="1" x14ac:dyDescent="0.15">
      <c r="A2" s="8"/>
      <c r="B2" s="9"/>
      <c r="C2" s="9"/>
      <c r="D2" s="8"/>
      <c r="E2" s="48" t="s">
        <v>26</v>
      </c>
      <c r="F2" s="3"/>
      <c r="G2" s="3"/>
    </row>
    <row r="3" spans="1:24" ht="63" customHeight="1" x14ac:dyDescent="0.15">
      <c r="A3" s="45" t="s">
        <v>0</v>
      </c>
      <c r="E3" s="25" t="s">
        <v>27</v>
      </c>
      <c r="F3" s="134" t="s">
        <v>8</v>
      </c>
      <c r="G3" s="135"/>
      <c r="I3" s="25" t="s">
        <v>29</v>
      </c>
      <c r="K3" s="73"/>
      <c r="L3" s="73"/>
      <c r="M3" s="45" t="s">
        <v>0</v>
      </c>
      <c r="N3" s="25" t="s">
        <v>29</v>
      </c>
      <c r="P3" s="28"/>
      <c r="Q3" s="28"/>
      <c r="S3" s="72" t="s">
        <v>35</v>
      </c>
      <c r="T3" s="72" t="s">
        <v>36</v>
      </c>
      <c r="U3" s="72" t="s">
        <v>35</v>
      </c>
      <c r="V3" s="72" t="s">
        <v>36</v>
      </c>
      <c r="W3" s="72" t="s">
        <v>35</v>
      </c>
      <c r="X3" s="72" t="s">
        <v>36</v>
      </c>
    </row>
    <row r="4" spans="1:24" x14ac:dyDescent="0.15">
      <c r="P4" s="71"/>
      <c r="U4" s="74"/>
      <c r="V4" s="74"/>
      <c r="W4" s="74"/>
      <c r="X4" s="74"/>
    </row>
    <row r="5" spans="1:24" ht="14.25" customHeight="1" x14ac:dyDescent="0.15">
      <c r="A5" s="27"/>
      <c r="E5" s="28"/>
      <c r="F5" s="7"/>
      <c r="P5" s="171" t="s">
        <v>14</v>
      </c>
      <c r="Q5" s="171"/>
      <c r="U5" s="74"/>
      <c r="V5" s="74"/>
      <c r="W5" s="74"/>
      <c r="X5" s="74"/>
    </row>
    <row r="6" spans="1:24" x14ac:dyDescent="0.15">
      <c r="P6" s="171"/>
      <c r="Q6" s="171"/>
      <c r="U6" s="74"/>
      <c r="V6" s="74"/>
      <c r="W6" s="74"/>
      <c r="X6" s="74"/>
    </row>
    <row r="7" spans="1:24" ht="13.25" customHeight="1" x14ac:dyDescent="0.15">
      <c r="A7" s="26"/>
      <c r="B7" s="168"/>
      <c r="E7" s="28"/>
      <c r="F7" s="136" t="s">
        <v>14</v>
      </c>
      <c r="P7" s="171"/>
      <c r="Q7" s="171"/>
      <c r="S7" s="158" t="s">
        <v>33</v>
      </c>
      <c r="T7" s="159"/>
      <c r="U7" s="74"/>
      <c r="V7" s="74"/>
      <c r="W7" s="89" t="s">
        <v>13</v>
      </c>
      <c r="X7" s="89"/>
    </row>
    <row r="8" spans="1:24" ht="13.25" customHeight="1" x14ac:dyDescent="0.15">
      <c r="A8" s="7">
        <v>71</v>
      </c>
      <c r="B8" s="169"/>
      <c r="C8" s="17"/>
      <c r="D8" s="4"/>
      <c r="E8" s="18">
        <v>118399</v>
      </c>
      <c r="F8" s="137"/>
      <c r="G8" s="139" t="s">
        <v>13</v>
      </c>
      <c r="I8" s="46">
        <v>124318.95000000001</v>
      </c>
      <c r="K8" s="49"/>
      <c r="L8" s="50"/>
      <c r="M8" s="2" t="s">
        <v>49</v>
      </c>
      <c r="N8" s="66">
        <f t="shared" ref="N8:N40" si="0">I8</f>
        <v>124318.95000000001</v>
      </c>
      <c r="Q8" s="172" t="s">
        <v>13</v>
      </c>
      <c r="S8" s="84" t="s">
        <v>50</v>
      </c>
      <c r="T8" s="85">
        <v>72</v>
      </c>
      <c r="U8" s="74"/>
      <c r="V8" s="74"/>
      <c r="W8" s="75">
        <v>71</v>
      </c>
      <c r="X8" s="38">
        <v>71</v>
      </c>
    </row>
    <row r="9" spans="1:24" ht="13.25" customHeight="1" x14ac:dyDescent="0.15">
      <c r="A9" s="7">
        <v>70</v>
      </c>
      <c r="B9" s="169"/>
      <c r="C9" s="17"/>
      <c r="D9" s="4"/>
      <c r="E9" s="18">
        <v>114951</v>
      </c>
      <c r="F9" s="137"/>
      <c r="G9" s="140"/>
      <c r="I9" s="46">
        <v>120698.55</v>
      </c>
      <c r="K9" s="51"/>
      <c r="L9" s="52"/>
      <c r="M9" s="7">
        <v>71</v>
      </c>
      <c r="N9" s="66">
        <f t="shared" si="0"/>
        <v>120698.55</v>
      </c>
      <c r="Q9" s="173"/>
      <c r="S9" s="84">
        <v>71</v>
      </c>
      <c r="T9" s="85">
        <v>71</v>
      </c>
      <c r="U9" s="74"/>
      <c r="V9" s="74"/>
      <c r="W9" s="75">
        <v>70</v>
      </c>
      <c r="X9" s="38">
        <v>70</v>
      </c>
    </row>
    <row r="10" spans="1:24" ht="13.25" customHeight="1" x14ac:dyDescent="0.15">
      <c r="A10" s="7">
        <v>69</v>
      </c>
      <c r="B10" s="170"/>
      <c r="C10" s="17"/>
      <c r="D10" s="4"/>
      <c r="E10" s="18">
        <v>111603</v>
      </c>
      <c r="F10" s="138"/>
      <c r="G10" s="140"/>
      <c r="I10" s="46">
        <v>117183.15000000001</v>
      </c>
      <c r="K10" s="53"/>
      <c r="L10" s="54"/>
      <c r="M10" s="7">
        <v>70</v>
      </c>
      <c r="N10" s="66">
        <f t="shared" si="0"/>
        <v>117183.15000000001</v>
      </c>
      <c r="P10" s="69"/>
      <c r="Q10" s="173"/>
      <c r="S10" s="84">
        <v>70</v>
      </c>
      <c r="T10" s="85">
        <v>70</v>
      </c>
      <c r="U10" s="74"/>
      <c r="V10" s="74"/>
      <c r="W10" s="75">
        <v>69</v>
      </c>
      <c r="X10" s="38">
        <v>69</v>
      </c>
    </row>
    <row r="11" spans="1:24" ht="13.25" customHeight="1" x14ac:dyDescent="0.15">
      <c r="A11" s="7">
        <v>68</v>
      </c>
      <c r="C11" s="16"/>
      <c r="D11" s="4"/>
      <c r="E11" s="18">
        <v>108353</v>
      </c>
      <c r="F11" s="12"/>
      <c r="G11" s="140"/>
      <c r="I11" s="46">
        <v>113770.65000000001</v>
      </c>
      <c r="K11" s="53"/>
      <c r="L11" s="54"/>
      <c r="M11" s="7">
        <v>69</v>
      </c>
      <c r="N11" s="66">
        <f t="shared" si="0"/>
        <v>113770.65000000001</v>
      </c>
      <c r="P11" s="69"/>
      <c r="Q11" s="173"/>
      <c r="S11" s="84">
        <v>69</v>
      </c>
      <c r="T11" s="85">
        <v>69</v>
      </c>
      <c r="U11" s="74"/>
      <c r="V11" s="74"/>
      <c r="W11" s="75">
        <v>68</v>
      </c>
      <c r="X11" s="38">
        <v>68</v>
      </c>
    </row>
    <row r="12" spans="1:24" ht="13.25" customHeight="1" x14ac:dyDescent="0.15">
      <c r="A12" s="7">
        <v>67</v>
      </c>
      <c r="C12" s="16"/>
      <c r="D12" s="4"/>
      <c r="E12" s="18">
        <v>105195</v>
      </c>
      <c r="F12" s="12"/>
      <c r="G12" s="140"/>
      <c r="I12" s="46">
        <v>110454.75</v>
      </c>
      <c r="L12" s="16"/>
      <c r="M12" s="7">
        <v>68</v>
      </c>
      <c r="N12" s="66">
        <f t="shared" si="0"/>
        <v>110454.75</v>
      </c>
      <c r="P12" s="69"/>
      <c r="Q12" s="173"/>
      <c r="S12" s="74"/>
      <c r="T12" s="74"/>
      <c r="U12" s="74"/>
      <c r="V12" s="74"/>
      <c r="W12" s="75">
        <v>67</v>
      </c>
      <c r="X12" s="38">
        <v>67</v>
      </c>
    </row>
    <row r="13" spans="1:24" ht="13.25" customHeight="1" x14ac:dyDescent="0.15">
      <c r="A13" s="7">
        <v>66</v>
      </c>
      <c r="C13" s="16"/>
      <c r="D13" s="4"/>
      <c r="E13" s="18">
        <v>102132</v>
      </c>
      <c r="F13" s="12"/>
      <c r="G13" s="140"/>
      <c r="I13" s="46">
        <v>107238.6</v>
      </c>
      <c r="L13" s="16"/>
      <c r="M13" s="7">
        <v>67</v>
      </c>
      <c r="N13" s="66">
        <f t="shared" si="0"/>
        <v>107238.6</v>
      </c>
      <c r="P13" s="69"/>
      <c r="Q13" s="173"/>
      <c r="S13" s="74"/>
      <c r="T13" s="74"/>
      <c r="U13" s="74"/>
      <c r="V13" s="74"/>
      <c r="W13" s="75">
        <v>66</v>
      </c>
      <c r="X13" s="38">
        <v>66</v>
      </c>
    </row>
    <row r="14" spans="1:24" ht="13.25" customHeight="1" x14ac:dyDescent="0.15">
      <c r="A14" s="7">
        <v>65</v>
      </c>
      <c r="C14" s="16"/>
      <c r="D14" s="4"/>
      <c r="E14" s="18">
        <v>99159</v>
      </c>
      <c r="F14" s="12"/>
      <c r="G14" s="140"/>
      <c r="I14" s="46">
        <v>104116.95000000001</v>
      </c>
      <c r="K14" s="95"/>
      <c r="L14" s="16"/>
      <c r="M14" s="7">
        <v>66</v>
      </c>
      <c r="N14" s="66">
        <f t="shared" si="0"/>
        <v>104116.95000000001</v>
      </c>
      <c r="P14" s="177" t="s">
        <v>12</v>
      </c>
      <c r="Q14" s="96"/>
      <c r="S14" s="74"/>
      <c r="T14" s="74"/>
      <c r="U14" s="74"/>
      <c r="V14" s="74"/>
      <c r="W14" s="75">
        <v>65</v>
      </c>
      <c r="X14" s="38">
        <v>65</v>
      </c>
    </row>
    <row r="15" spans="1:24" ht="13.25" customHeight="1" x14ac:dyDescent="0.15">
      <c r="A15" s="7">
        <v>64</v>
      </c>
      <c r="C15" s="16"/>
      <c r="D15" s="4"/>
      <c r="E15" s="18">
        <v>96270</v>
      </c>
      <c r="F15" s="12"/>
      <c r="G15" s="140"/>
      <c r="I15" s="46">
        <v>101083.5</v>
      </c>
      <c r="K15" s="16"/>
      <c r="L15" s="10"/>
      <c r="M15" s="7">
        <v>65</v>
      </c>
      <c r="N15" s="66">
        <f t="shared" si="0"/>
        <v>101083.5</v>
      </c>
      <c r="P15" s="178"/>
      <c r="Q15" s="100"/>
      <c r="S15" s="166" t="s">
        <v>12</v>
      </c>
      <c r="T15" s="158"/>
      <c r="U15" s="74"/>
      <c r="V15" s="74"/>
      <c r="W15" s="75">
        <v>64</v>
      </c>
      <c r="X15" s="38">
        <v>65</v>
      </c>
    </row>
    <row r="16" spans="1:24" ht="13.25" customHeight="1" x14ac:dyDescent="0.15">
      <c r="A16" s="7">
        <v>63</v>
      </c>
      <c r="C16" s="16"/>
      <c r="D16" s="4"/>
      <c r="E16" s="18">
        <v>93466</v>
      </c>
      <c r="F16" s="12"/>
      <c r="G16" s="140"/>
      <c r="I16" s="46">
        <v>98139.3</v>
      </c>
      <c r="K16" s="59"/>
      <c r="L16" s="10"/>
      <c r="M16" s="7">
        <v>64</v>
      </c>
      <c r="N16" s="66">
        <f t="shared" si="0"/>
        <v>98139.3</v>
      </c>
      <c r="P16" s="178"/>
      <c r="Q16" s="100"/>
      <c r="S16" s="75">
        <v>60</v>
      </c>
      <c r="T16" s="76">
        <v>64</v>
      </c>
      <c r="U16" s="74"/>
      <c r="V16" s="74"/>
      <c r="W16" s="75">
        <v>63</v>
      </c>
      <c r="X16" s="38">
        <v>64</v>
      </c>
    </row>
    <row r="17" spans="1:24" ht="13.25" customHeight="1" x14ac:dyDescent="0.15">
      <c r="A17" s="7">
        <v>62</v>
      </c>
      <c r="C17" s="16"/>
      <c r="D17" s="4"/>
      <c r="E17" s="18">
        <v>90745</v>
      </c>
      <c r="F17" s="12"/>
      <c r="G17" s="140"/>
      <c r="I17" s="46">
        <v>95282.25</v>
      </c>
      <c r="K17" s="63"/>
      <c r="L17" s="10"/>
      <c r="M17" s="7">
        <v>63</v>
      </c>
      <c r="N17" s="66">
        <f t="shared" si="0"/>
        <v>95282.25</v>
      </c>
      <c r="P17" s="178"/>
      <c r="Q17" s="101"/>
      <c r="S17" s="75">
        <v>59</v>
      </c>
      <c r="T17" s="76">
        <v>64</v>
      </c>
      <c r="U17" s="74"/>
      <c r="V17" s="74"/>
      <c r="W17" s="75">
        <v>62</v>
      </c>
      <c r="X17" s="38">
        <v>64</v>
      </c>
    </row>
    <row r="18" spans="1:24" ht="13.25" customHeight="1" x14ac:dyDescent="0.15">
      <c r="A18" s="7">
        <v>61</v>
      </c>
      <c r="C18" s="16"/>
      <c r="D18" s="4"/>
      <c r="E18" s="18">
        <v>88101</v>
      </c>
      <c r="F18" s="12"/>
      <c r="G18" s="140"/>
      <c r="I18" s="46">
        <v>92506.05</v>
      </c>
      <c r="K18" s="97"/>
      <c r="L18" s="99"/>
      <c r="M18" s="7">
        <v>62</v>
      </c>
      <c r="N18" s="66">
        <f t="shared" si="0"/>
        <v>92506.05</v>
      </c>
      <c r="P18" s="179"/>
      <c r="Q18" s="69"/>
      <c r="S18" s="75">
        <v>58</v>
      </c>
      <c r="T18" s="76">
        <v>63</v>
      </c>
      <c r="U18" s="91" t="s">
        <v>32</v>
      </c>
      <c r="V18" s="91"/>
      <c r="W18" s="75">
        <v>61</v>
      </c>
      <c r="X18" s="38">
        <v>64</v>
      </c>
    </row>
    <row r="19" spans="1:24" ht="13.25" customHeight="1" x14ac:dyDescent="0.15">
      <c r="A19" s="7">
        <v>60</v>
      </c>
      <c r="B19" s="16"/>
      <c r="C19" s="16"/>
      <c r="D19" s="4"/>
      <c r="E19" s="18">
        <v>85535</v>
      </c>
      <c r="F19" s="142" t="s">
        <v>12</v>
      </c>
      <c r="G19" s="140"/>
      <c r="I19" s="46">
        <v>89811.75</v>
      </c>
      <c r="K19" s="10"/>
      <c r="L19" s="16"/>
      <c r="M19" s="7">
        <v>61</v>
      </c>
      <c r="N19" s="66">
        <f t="shared" si="0"/>
        <v>89811.75</v>
      </c>
      <c r="P19" s="179"/>
      <c r="Q19" s="136" t="s">
        <v>9</v>
      </c>
      <c r="S19" s="75">
        <v>57</v>
      </c>
      <c r="T19" s="76">
        <v>62</v>
      </c>
      <c r="U19" s="88">
        <v>56</v>
      </c>
      <c r="V19" s="74">
        <v>60</v>
      </c>
      <c r="W19" s="75">
        <v>60</v>
      </c>
      <c r="X19" s="38">
        <v>64</v>
      </c>
    </row>
    <row r="20" spans="1:24" ht="13.25" customHeight="1" x14ac:dyDescent="0.15">
      <c r="A20" s="7">
        <v>59</v>
      </c>
      <c r="B20" s="16"/>
      <c r="C20" s="16"/>
      <c r="D20" s="4"/>
      <c r="E20" s="18">
        <v>83045</v>
      </c>
      <c r="F20" s="143"/>
      <c r="G20" s="140"/>
      <c r="I20" s="46">
        <v>87197.25</v>
      </c>
      <c r="K20" s="55"/>
      <c r="L20" s="16"/>
      <c r="M20" s="7">
        <v>60</v>
      </c>
      <c r="N20" s="66">
        <f t="shared" si="0"/>
        <v>87197.25</v>
      </c>
      <c r="P20" s="179"/>
      <c r="Q20" s="137"/>
      <c r="S20" s="75">
        <v>56</v>
      </c>
      <c r="T20" s="75">
        <v>61</v>
      </c>
      <c r="U20" s="88">
        <v>55</v>
      </c>
      <c r="V20" s="77">
        <v>60</v>
      </c>
      <c r="W20" s="75">
        <v>59</v>
      </c>
      <c r="X20" s="38">
        <v>64</v>
      </c>
    </row>
    <row r="21" spans="1:24" ht="13.25" customHeight="1" x14ac:dyDescent="0.15">
      <c r="A21" s="7">
        <v>58</v>
      </c>
      <c r="B21" s="16"/>
      <c r="C21" s="16"/>
      <c r="D21" s="4"/>
      <c r="E21" s="18">
        <v>80624</v>
      </c>
      <c r="F21" s="143"/>
      <c r="G21" s="141"/>
      <c r="I21" s="46">
        <v>84655.2</v>
      </c>
      <c r="K21" s="55"/>
      <c r="L21" s="16"/>
      <c r="M21" s="7">
        <v>59</v>
      </c>
      <c r="N21" s="66">
        <f t="shared" si="0"/>
        <v>84655.2</v>
      </c>
      <c r="P21" s="94"/>
      <c r="Q21" s="137"/>
      <c r="S21" s="75">
        <v>55</v>
      </c>
      <c r="T21" s="75">
        <v>60</v>
      </c>
      <c r="U21" s="76">
        <v>54</v>
      </c>
      <c r="V21" s="77">
        <v>59</v>
      </c>
      <c r="W21" s="75">
        <v>58</v>
      </c>
      <c r="X21" s="38">
        <v>63</v>
      </c>
    </row>
    <row r="22" spans="1:24" ht="13.25" customHeight="1" x14ac:dyDescent="0.15">
      <c r="A22" s="7">
        <v>57</v>
      </c>
      <c r="B22" s="16"/>
      <c r="C22" s="11"/>
      <c r="D22" s="4"/>
      <c r="E22" s="18">
        <v>78276</v>
      </c>
      <c r="F22" s="140"/>
      <c r="G22" s="26"/>
      <c r="I22" s="46">
        <v>82189.8</v>
      </c>
      <c r="K22" s="56"/>
      <c r="L22" s="16"/>
      <c r="M22" s="7">
        <v>58</v>
      </c>
      <c r="N22" s="66">
        <f t="shared" si="0"/>
        <v>82189.8</v>
      </c>
      <c r="P22" s="69"/>
      <c r="Q22" s="137"/>
      <c r="S22" s="76">
        <v>54</v>
      </c>
      <c r="T22" s="75">
        <v>59</v>
      </c>
      <c r="U22" s="76">
        <v>53</v>
      </c>
      <c r="V22" s="76">
        <v>58</v>
      </c>
    </row>
    <row r="23" spans="1:24" ht="13.25" customHeight="1" x14ac:dyDescent="0.15">
      <c r="A23" s="7">
        <v>56</v>
      </c>
      <c r="B23" s="16"/>
      <c r="C23" s="16"/>
      <c r="D23" s="4"/>
      <c r="E23" s="18">
        <v>75995</v>
      </c>
      <c r="F23" s="140"/>
      <c r="G23" s="144" t="s">
        <v>9</v>
      </c>
      <c r="I23" s="46">
        <v>79794.75</v>
      </c>
      <c r="K23" s="56"/>
      <c r="L23" s="55"/>
      <c r="M23" s="7">
        <v>57</v>
      </c>
      <c r="N23" s="66">
        <f t="shared" si="0"/>
        <v>79794.75</v>
      </c>
      <c r="P23" s="69"/>
      <c r="Q23" s="137"/>
      <c r="S23" s="74"/>
      <c r="T23" s="74"/>
      <c r="U23" s="76">
        <v>52</v>
      </c>
      <c r="V23" s="76">
        <v>57</v>
      </c>
      <c r="W23" s="74"/>
      <c r="X23" s="78"/>
    </row>
    <row r="24" spans="1:24" ht="13.25" customHeight="1" x14ac:dyDescent="0.15">
      <c r="A24" s="7">
        <v>55</v>
      </c>
      <c r="B24" s="16"/>
      <c r="C24" s="16"/>
      <c r="D24" s="4"/>
      <c r="E24" s="18">
        <v>73790</v>
      </c>
      <c r="F24" s="140"/>
      <c r="G24" s="145"/>
      <c r="I24" s="46">
        <v>77479.5</v>
      </c>
      <c r="K24" s="56"/>
      <c r="L24" s="57"/>
      <c r="M24" s="7">
        <v>56</v>
      </c>
      <c r="N24" s="66">
        <f t="shared" si="0"/>
        <v>77479.5</v>
      </c>
      <c r="P24" s="69"/>
      <c r="Q24" s="137"/>
      <c r="S24" s="74"/>
      <c r="T24" s="74"/>
      <c r="U24" s="76">
        <v>51</v>
      </c>
      <c r="V24" s="76">
        <v>56</v>
      </c>
      <c r="W24" s="74"/>
      <c r="X24" s="2"/>
    </row>
    <row r="25" spans="1:24" ht="13.25" customHeight="1" x14ac:dyDescent="0.15">
      <c r="A25" s="1">
        <v>54</v>
      </c>
      <c r="B25" s="29"/>
      <c r="C25" s="29"/>
      <c r="D25" s="4"/>
      <c r="E25" s="18">
        <v>71646</v>
      </c>
      <c r="F25" s="141"/>
      <c r="G25" s="145"/>
      <c r="I25" s="46">
        <v>75228.3</v>
      </c>
      <c r="K25" s="58"/>
      <c r="L25" s="57"/>
      <c r="M25" s="7">
        <v>55</v>
      </c>
      <c r="N25" s="66">
        <f t="shared" si="0"/>
        <v>75228.3</v>
      </c>
      <c r="P25" s="69"/>
      <c r="Q25" s="137"/>
      <c r="S25" s="74"/>
      <c r="T25" s="74"/>
      <c r="U25" s="76">
        <v>50</v>
      </c>
      <c r="V25" s="75">
        <v>55</v>
      </c>
      <c r="W25" s="74"/>
      <c r="X25" s="2"/>
    </row>
    <row r="26" spans="1:24" ht="13.25" customHeight="1" x14ac:dyDescent="0.15">
      <c r="A26" s="1">
        <v>53</v>
      </c>
      <c r="B26" s="32"/>
      <c r="C26" s="29"/>
      <c r="D26" s="4"/>
      <c r="E26" s="18">
        <v>69565</v>
      </c>
      <c r="F26" s="12"/>
      <c r="G26" s="137"/>
      <c r="I26" s="46">
        <v>73043.25</v>
      </c>
      <c r="K26" s="98"/>
      <c r="L26" s="60"/>
      <c r="M26" s="1">
        <v>54</v>
      </c>
      <c r="N26" s="66">
        <f t="shared" si="0"/>
        <v>73043.25</v>
      </c>
      <c r="P26" s="129" t="s">
        <v>10</v>
      </c>
      <c r="Q26" s="137"/>
      <c r="S26" s="74"/>
      <c r="T26" s="74"/>
      <c r="U26" s="76">
        <v>49</v>
      </c>
      <c r="V26" s="75">
        <v>54</v>
      </c>
      <c r="W26" s="74"/>
      <c r="X26" s="2"/>
    </row>
    <row r="27" spans="1:24" ht="13.25" customHeight="1" x14ac:dyDescent="0.15">
      <c r="A27" s="1">
        <v>52</v>
      </c>
      <c r="B27" s="32"/>
      <c r="C27" s="29"/>
      <c r="D27" s="4"/>
      <c r="E27" s="18">
        <v>67542</v>
      </c>
      <c r="F27" s="12"/>
      <c r="G27" s="137"/>
      <c r="I27" s="46">
        <v>70919.100000000006</v>
      </c>
      <c r="K27" s="59"/>
      <c r="L27" s="60" t="s">
        <v>4</v>
      </c>
      <c r="M27" s="1">
        <v>53</v>
      </c>
      <c r="N27" s="66">
        <f t="shared" si="0"/>
        <v>70919.100000000006</v>
      </c>
      <c r="P27" s="129"/>
      <c r="Q27" s="138"/>
      <c r="S27" s="166" t="s">
        <v>31</v>
      </c>
      <c r="T27" s="166"/>
      <c r="U27" s="76">
        <v>48</v>
      </c>
      <c r="V27" s="76">
        <v>53</v>
      </c>
      <c r="W27" s="74"/>
      <c r="X27" s="2"/>
    </row>
    <row r="28" spans="1:24" ht="13.25" customHeight="1" x14ac:dyDescent="0.15">
      <c r="A28" s="1">
        <v>51</v>
      </c>
      <c r="B28" s="32"/>
      <c r="C28" s="34"/>
      <c r="E28" s="18">
        <v>65578</v>
      </c>
      <c r="F28" s="6"/>
      <c r="G28" s="137"/>
      <c r="I28" s="46">
        <v>68857</v>
      </c>
      <c r="K28" s="59"/>
      <c r="L28" s="56"/>
      <c r="M28" s="1">
        <v>52</v>
      </c>
      <c r="N28" s="66">
        <f t="shared" si="0"/>
        <v>68857</v>
      </c>
      <c r="P28" s="129"/>
      <c r="Q28" s="69"/>
      <c r="S28" s="76">
        <v>49</v>
      </c>
      <c r="T28" s="1">
        <v>53</v>
      </c>
      <c r="W28" s="74"/>
      <c r="X28" s="2"/>
    </row>
    <row r="29" spans="1:24" ht="13.25" customHeight="1" x14ac:dyDescent="0.15">
      <c r="A29" s="1">
        <v>50</v>
      </c>
      <c r="B29" s="32"/>
      <c r="C29" s="31"/>
      <c r="E29" s="18">
        <v>63673</v>
      </c>
      <c r="F29" s="6"/>
      <c r="G29" s="137"/>
      <c r="I29" s="46">
        <v>66857</v>
      </c>
      <c r="K29" s="59"/>
      <c r="L29" s="56"/>
      <c r="M29" s="1">
        <v>51</v>
      </c>
      <c r="N29" s="66">
        <f t="shared" si="0"/>
        <v>66857</v>
      </c>
      <c r="P29" s="129"/>
      <c r="Q29" s="69"/>
      <c r="S29" s="76">
        <v>48</v>
      </c>
      <c r="T29" s="1">
        <v>53</v>
      </c>
      <c r="U29" s="74"/>
      <c r="V29" s="74"/>
      <c r="W29" s="74"/>
      <c r="X29" s="2"/>
    </row>
    <row r="30" spans="1:24" ht="13.25" customHeight="1" x14ac:dyDescent="0.15">
      <c r="A30" s="1">
        <v>49</v>
      </c>
      <c r="B30" s="35"/>
      <c r="C30" s="31"/>
      <c r="E30" s="18">
        <v>61823</v>
      </c>
      <c r="F30" s="124" t="s">
        <v>10</v>
      </c>
      <c r="G30" s="145"/>
      <c r="I30" s="46">
        <v>64914</v>
      </c>
      <c r="K30" s="16"/>
      <c r="L30" s="56"/>
      <c r="M30" s="1">
        <v>50</v>
      </c>
      <c r="N30" s="66">
        <f t="shared" si="0"/>
        <v>64914</v>
      </c>
      <c r="P30" s="129"/>
      <c r="Q30" s="69"/>
      <c r="S30" s="76">
        <v>47</v>
      </c>
      <c r="T30" s="76">
        <v>52</v>
      </c>
      <c r="U30" s="74"/>
      <c r="V30" s="74"/>
      <c r="W30" s="74"/>
      <c r="X30" s="2"/>
    </row>
    <row r="31" spans="1:24" s="5" customFormat="1" ht="13.25" customHeight="1" x14ac:dyDescent="0.15">
      <c r="A31" s="4">
        <v>48</v>
      </c>
      <c r="B31" s="29"/>
      <c r="C31" s="33" t="s">
        <v>4</v>
      </c>
      <c r="D31" s="4"/>
      <c r="E31" s="18">
        <v>60319</v>
      </c>
      <c r="F31" s="125"/>
      <c r="G31" s="146"/>
      <c r="I31" s="46">
        <v>63334.950000000004</v>
      </c>
      <c r="K31" s="16"/>
      <c r="L31" s="56"/>
      <c r="M31" s="1">
        <v>49</v>
      </c>
      <c r="N31" s="66">
        <f t="shared" si="0"/>
        <v>63334.950000000004</v>
      </c>
      <c r="P31" s="129"/>
      <c r="Q31" s="69"/>
      <c r="S31" s="76">
        <v>46</v>
      </c>
      <c r="T31" s="76">
        <v>51</v>
      </c>
      <c r="U31" s="74"/>
      <c r="V31" s="74"/>
      <c r="W31" s="74"/>
      <c r="X31" s="2"/>
    </row>
    <row r="32" spans="1:24" ht="13.25" customHeight="1" x14ac:dyDescent="0.15">
      <c r="A32" s="1">
        <v>47</v>
      </c>
      <c r="B32" s="29"/>
      <c r="C32" s="36"/>
      <c r="E32" s="18">
        <v>58284</v>
      </c>
      <c r="F32" s="125"/>
      <c r="G32" s="6"/>
      <c r="I32" s="46">
        <v>61198</v>
      </c>
      <c r="K32" s="55"/>
      <c r="L32" s="56"/>
      <c r="M32" s="4">
        <v>48</v>
      </c>
      <c r="N32" s="66">
        <f t="shared" si="0"/>
        <v>61198</v>
      </c>
      <c r="P32" s="129"/>
      <c r="Q32" s="69"/>
      <c r="S32" s="76">
        <v>45</v>
      </c>
      <c r="T32" s="76">
        <v>50</v>
      </c>
      <c r="U32" s="158" t="s">
        <v>30</v>
      </c>
      <c r="V32" s="159"/>
      <c r="W32" s="79"/>
      <c r="X32" s="2"/>
    </row>
    <row r="33" spans="1:24" ht="13.25" customHeight="1" x14ac:dyDescent="0.15">
      <c r="A33" s="1">
        <v>46</v>
      </c>
      <c r="B33" s="29"/>
      <c r="C33" s="32"/>
      <c r="E33" s="18">
        <v>56592</v>
      </c>
      <c r="F33" s="125"/>
      <c r="G33" s="6"/>
      <c r="I33" s="46">
        <v>59421</v>
      </c>
      <c r="K33" s="55"/>
      <c r="L33" s="59"/>
      <c r="M33" s="1">
        <v>47</v>
      </c>
      <c r="N33" s="66">
        <f t="shared" si="0"/>
        <v>59421</v>
      </c>
      <c r="P33" s="129"/>
      <c r="Q33" s="129" t="s">
        <v>11</v>
      </c>
      <c r="S33" s="76">
        <v>44</v>
      </c>
      <c r="T33" s="76">
        <v>49</v>
      </c>
      <c r="U33" s="74"/>
      <c r="W33" s="74"/>
      <c r="X33" s="74"/>
    </row>
    <row r="34" spans="1:24" ht="13.25" customHeight="1" x14ac:dyDescent="0.15">
      <c r="A34" s="1">
        <v>45</v>
      </c>
      <c r="B34" s="29"/>
      <c r="C34" s="32"/>
      <c r="E34" s="18">
        <v>54949</v>
      </c>
      <c r="F34" s="125"/>
      <c r="G34" s="6"/>
      <c r="I34" s="46">
        <v>57696</v>
      </c>
      <c r="K34" s="55"/>
      <c r="L34" s="59"/>
      <c r="M34" s="1">
        <v>46</v>
      </c>
      <c r="N34" s="66">
        <f t="shared" si="0"/>
        <v>57696</v>
      </c>
      <c r="P34" s="129"/>
      <c r="Q34" s="150"/>
      <c r="S34" s="76">
        <v>43</v>
      </c>
      <c r="T34" s="76">
        <v>48</v>
      </c>
      <c r="U34" s="76">
        <v>41</v>
      </c>
      <c r="V34" s="76">
        <v>46</v>
      </c>
      <c r="W34" s="74"/>
      <c r="X34" s="74"/>
    </row>
    <row r="35" spans="1:24" ht="13.25" customHeight="1" x14ac:dyDescent="0.15">
      <c r="A35" s="1">
        <v>44</v>
      </c>
      <c r="B35" s="30"/>
      <c r="C35" s="32"/>
      <c r="E35" s="18">
        <v>53353</v>
      </c>
      <c r="F35" s="125"/>
      <c r="G35" s="6"/>
      <c r="I35" s="46">
        <v>56021</v>
      </c>
      <c r="K35" s="61"/>
      <c r="L35" s="59"/>
      <c r="M35" s="1">
        <v>45</v>
      </c>
      <c r="N35" s="66">
        <f t="shared" si="0"/>
        <v>56021</v>
      </c>
      <c r="P35" s="124"/>
      <c r="Q35" s="150"/>
      <c r="S35" s="76">
        <v>42</v>
      </c>
      <c r="T35" s="76">
        <v>48</v>
      </c>
      <c r="U35" s="76">
        <v>40</v>
      </c>
      <c r="V35" s="76">
        <v>45</v>
      </c>
      <c r="W35" s="74"/>
      <c r="X35" s="74"/>
    </row>
    <row r="36" spans="1:24" ht="13.25" customHeight="1" x14ac:dyDescent="0.15">
      <c r="A36" s="1">
        <v>43</v>
      </c>
      <c r="B36" s="30"/>
      <c r="C36" s="32"/>
      <c r="E36" s="18">
        <v>51805</v>
      </c>
      <c r="F36" s="125"/>
      <c r="G36" s="6"/>
      <c r="I36" s="46">
        <v>54395</v>
      </c>
      <c r="K36" s="61" t="s">
        <v>7</v>
      </c>
      <c r="L36" s="16"/>
      <c r="M36" s="1">
        <v>44</v>
      </c>
      <c r="N36" s="66">
        <f t="shared" si="0"/>
        <v>54395</v>
      </c>
      <c r="P36" s="94"/>
      <c r="Q36" s="150"/>
      <c r="S36" s="76">
        <v>41</v>
      </c>
      <c r="T36" s="76">
        <v>46</v>
      </c>
      <c r="U36" s="76">
        <v>39</v>
      </c>
      <c r="V36" s="76">
        <v>44</v>
      </c>
      <c r="W36" s="74"/>
      <c r="X36" s="74"/>
    </row>
    <row r="37" spans="1:24" ht="13.25" customHeight="1" x14ac:dyDescent="0.15">
      <c r="A37" s="1">
        <v>42</v>
      </c>
      <c r="B37" s="30"/>
      <c r="C37" s="32"/>
      <c r="E37" s="18">
        <v>50300</v>
      </c>
      <c r="F37" s="125"/>
      <c r="G37" s="6"/>
      <c r="I37" s="46">
        <v>52815</v>
      </c>
      <c r="K37" s="56"/>
      <c r="L37" s="55"/>
      <c r="M37" s="1">
        <v>43</v>
      </c>
      <c r="N37" s="66">
        <f t="shared" si="0"/>
        <v>52815</v>
      </c>
      <c r="P37" s="69"/>
      <c r="Q37" s="150"/>
      <c r="S37" s="76">
        <v>40</v>
      </c>
      <c r="T37" s="76">
        <v>45</v>
      </c>
      <c r="U37" s="76">
        <v>38</v>
      </c>
      <c r="V37" s="76">
        <v>43</v>
      </c>
      <c r="W37" s="74"/>
      <c r="X37" s="74"/>
    </row>
    <row r="38" spans="1:24" ht="13.25" customHeight="1" x14ac:dyDescent="0.15">
      <c r="A38" s="1">
        <v>41</v>
      </c>
      <c r="B38" s="30"/>
      <c r="C38" s="29"/>
      <c r="E38" s="18">
        <v>48841</v>
      </c>
      <c r="F38" s="125"/>
      <c r="G38" s="129" t="s">
        <v>11</v>
      </c>
      <c r="I38" s="46">
        <v>51283</v>
      </c>
      <c r="K38" s="56"/>
      <c r="L38" s="55"/>
      <c r="M38" s="1">
        <v>42</v>
      </c>
      <c r="N38" s="66">
        <f t="shared" si="0"/>
        <v>51283</v>
      </c>
      <c r="P38" s="69"/>
      <c r="Q38" s="150"/>
      <c r="S38" s="76">
        <v>39</v>
      </c>
      <c r="T38" s="76">
        <v>44</v>
      </c>
      <c r="U38" s="76">
        <v>37</v>
      </c>
      <c r="V38" s="76">
        <v>42</v>
      </c>
      <c r="W38" s="74"/>
      <c r="X38" s="74"/>
    </row>
    <row r="39" spans="1:24" ht="13.25" customHeight="1" x14ac:dyDescent="0.15">
      <c r="A39" s="1">
        <v>40</v>
      </c>
      <c r="B39" s="30"/>
      <c r="C39" s="29"/>
      <c r="E39" s="18">
        <v>47423</v>
      </c>
      <c r="F39" s="126"/>
      <c r="G39" s="147"/>
      <c r="I39" s="46">
        <v>49794</v>
      </c>
      <c r="K39" s="56"/>
      <c r="L39" s="23"/>
      <c r="M39" s="1">
        <v>41</v>
      </c>
      <c r="N39" s="66">
        <f t="shared" si="0"/>
        <v>49794</v>
      </c>
      <c r="P39" s="69"/>
      <c r="Q39" s="150"/>
      <c r="S39" s="74"/>
      <c r="T39" s="74"/>
      <c r="U39" s="76">
        <v>36</v>
      </c>
      <c r="V39" s="76">
        <v>41</v>
      </c>
      <c r="W39" s="74"/>
      <c r="X39" s="74"/>
    </row>
    <row r="40" spans="1:24" ht="13.25" customHeight="1" x14ac:dyDescent="0.15">
      <c r="A40" s="1">
        <v>39</v>
      </c>
      <c r="B40" s="37" t="s">
        <v>7</v>
      </c>
      <c r="C40" s="29"/>
      <c r="D40" s="6"/>
      <c r="E40" s="18">
        <v>46047</v>
      </c>
      <c r="F40" s="15"/>
      <c r="G40" s="147"/>
      <c r="I40" s="46">
        <v>48350</v>
      </c>
      <c r="K40" s="56"/>
      <c r="L40" s="61"/>
      <c r="M40" s="1">
        <v>40</v>
      </c>
      <c r="N40" s="66">
        <f t="shared" si="0"/>
        <v>48350</v>
      </c>
      <c r="P40" s="69"/>
      <c r="Q40" s="150"/>
      <c r="S40" s="74"/>
      <c r="T40" s="74"/>
      <c r="U40" s="76">
        <v>35</v>
      </c>
      <c r="V40" s="76">
        <v>40</v>
      </c>
      <c r="W40" s="74"/>
      <c r="X40" s="74"/>
    </row>
    <row r="41" spans="1:24" ht="13.25" customHeight="1" x14ac:dyDescent="0.15">
      <c r="A41" s="1"/>
      <c r="B41" s="39"/>
      <c r="C41" s="6"/>
      <c r="D41" s="6"/>
      <c r="E41" s="18"/>
      <c r="F41" s="15"/>
      <c r="G41" s="147"/>
      <c r="I41" s="46"/>
      <c r="K41" s="67"/>
      <c r="L41" s="65" t="s">
        <v>6</v>
      </c>
      <c r="M41" s="1">
        <v>39</v>
      </c>
      <c r="N41" s="68">
        <v>45909</v>
      </c>
      <c r="P41" s="70"/>
      <c r="Q41" s="150"/>
      <c r="S41" s="74"/>
      <c r="T41" s="74"/>
      <c r="U41" s="76">
        <v>34</v>
      </c>
      <c r="V41" s="76">
        <v>39</v>
      </c>
      <c r="W41" s="74"/>
      <c r="X41" s="74"/>
    </row>
    <row r="42" spans="1:24" ht="13.25" customHeight="1" x14ac:dyDescent="0.15">
      <c r="A42" s="1">
        <v>38</v>
      </c>
      <c r="B42" s="32"/>
      <c r="C42" s="29"/>
      <c r="E42" s="18">
        <v>44737</v>
      </c>
      <c r="F42" s="6"/>
      <c r="G42" s="147"/>
      <c r="I42" s="46">
        <v>46974</v>
      </c>
      <c r="K42" s="59"/>
      <c r="L42" s="56"/>
      <c r="M42" s="1">
        <v>38</v>
      </c>
      <c r="N42" s="66">
        <f t="shared" ref="N42:N72" si="1">I42</f>
        <v>46974</v>
      </c>
      <c r="P42" s="124" t="s">
        <v>15</v>
      </c>
      <c r="Q42" s="69"/>
      <c r="S42" s="74"/>
      <c r="T42" s="74"/>
      <c r="U42" s="74"/>
      <c r="V42" s="74"/>
      <c r="W42" s="74"/>
      <c r="X42" s="74"/>
    </row>
    <row r="43" spans="1:24" ht="13.25" customHeight="1" x14ac:dyDescent="0.15">
      <c r="A43" s="1">
        <v>37</v>
      </c>
      <c r="B43" s="32"/>
      <c r="C43" s="29"/>
      <c r="E43" s="18">
        <v>43414</v>
      </c>
      <c r="F43" s="6"/>
      <c r="G43" s="147"/>
      <c r="I43" s="46">
        <v>45585</v>
      </c>
      <c r="K43" s="59"/>
      <c r="L43" s="56"/>
      <c r="M43" s="1">
        <v>37</v>
      </c>
      <c r="N43" s="66">
        <f t="shared" si="1"/>
        <v>45585</v>
      </c>
      <c r="P43" s="125"/>
      <c r="Q43" s="69"/>
      <c r="U43" s="74"/>
      <c r="V43" s="74"/>
      <c r="W43" s="74"/>
      <c r="X43" s="74"/>
    </row>
    <row r="44" spans="1:24" ht="13.25" customHeight="1" x14ac:dyDescent="0.15">
      <c r="A44" s="1">
        <v>36</v>
      </c>
      <c r="B44" s="32"/>
      <c r="C44" s="30"/>
      <c r="E44" s="18">
        <v>42155</v>
      </c>
      <c r="F44" s="6"/>
      <c r="G44" s="147"/>
      <c r="I44" s="46">
        <v>44263</v>
      </c>
      <c r="K44" s="59"/>
      <c r="L44" s="56"/>
      <c r="M44" s="1">
        <v>36</v>
      </c>
      <c r="N44" s="66">
        <f t="shared" si="1"/>
        <v>44263</v>
      </c>
      <c r="P44" s="125"/>
      <c r="Q44" s="69"/>
      <c r="U44" s="74"/>
      <c r="V44" s="74"/>
      <c r="W44" s="74"/>
      <c r="X44" s="74"/>
    </row>
    <row r="45" spans="1:24" ht="13.25" customHeight="1" x14ac:dyDescent="0.15">
      <c r="A45" s="1">
        <v>35</v>
      </c>
      <c r="B45" s="32"/>
      <c r="C45" s="30"/>
      <c r="E45" s="18">
        <v>40931</v>
      </c>
      <c r="F45" s="6"/>
      <c r="G45" s="147"/>
      <c r="I45" s="46">
        <v>42978</v>
      </c>
      <c r="K45" s="59"/>
      <c r="L45" s="56"/>
      <c r="M45" s="1">
        <v>35</v>
      </c>
      <c r="N45" s="66">
        <f t="shared" si="1"/>
        <v>42978</v>
      </c>
      <c r="P45" s="125"/>
      <c r="Q45" s="69"/>
      <c r="S45" s="166" t="s">
        <v>37</v>
      </c>
      <c r="T45" s="166"/>
      <c r="U45" s="74"/>
      <c r="V45" s="74"/>
      <c r="W45" s="74"/>
      <c r="X45" s="74"/>
    </row>
    <row r="46" spans="1:24" ht="13.25" customHeight="1" x14ac:dyDescent="0.15">
      <c r="A46" s="1">
        <v>34</v>
      </c>
      <c r="B46" s="32"/>
      <c r="C46" s="37" t="s">
        <v>6</v>
      </c>
      <c r="E46" s="18">
        <v>39745</v>
      </c>
      <c r="F46" s="6"/>
      <c r="G46" s="147"/>
      <c r="I46" s="46">
        <v>41732</v>
      </c>
      <c r="K46" s="59"/>
      <c r="L46" s="56"/>
      <c r="M46" s="1">
        <v>34</v>
      </c>
      <c r="N46" s="66">
        <f t="shared" si="1"/>
        <v>41732</v>
      </c>
      <c r="P46" s="125"/>
      <c r="Q46" s="69"/>
      <c r="S46" s="76">
        <v>31</v>
      </c>
      <c r="T46" s="76">
        <v>35</v>
      </c>
      <c r="U46" s="2"/>
      <c r="V46" s="74"/>
      <c r="W46" s="74"/>
      <c r="X46" s="74"/>
    </row>
    <row r="47" spans="1:24" s="19" customFormat="1" ht="13.25" customHeight="1" x14ac:dyDescent="0.15">
      <c r="A47" s="21">
        <v>33</v>
      </c>
      <c r="B47" s="41"/>
      <c r="C47" s="42"/>
      <c r="D47" s="21"/>
      <c r="E47" s="24">
        <v>38592</v>
      </c>
      <c r="F47" s="19" t="s">
        <v>28</v>
      </c>
      <c r="G47" s="21"/>
      <c r="I47" s="47">
        <v>40521</v>
      </c>
      <c r="K47" s="64"/>
      <c r="L47" s="56"/>
      <c r="M47" s="21">
        <v>33</v>
      </c>
      <c r="N47" s="66">
        <f t="shared" si="1"/>
        <v>40521</v>
      </c>
      <c r="P47" s="125"/>
      <c r="Q47" s="69"/>
      <c r="S47" s="76">
        <v>30</v>
      </c>
      <c r="T47" s="76">
        <v>34</v>
      </c>
      <c r="U47" s="2"/>
      <c r="V47" s="80"/>
      <c r="W47" s="80"/>
      <c r="X47" s="80"/>
    </row>
    <row r="48" spans="1:24" s="19" customFormat="1" ht="13.25" customHeight="1" x14ac:dyDescent="0.15">
      <c r="A48" s="21">
        <v>32</v>
      </c>
      <c r="B48" s="41"/>
      <c r="C48" s="42"/>
      <c r="D48" s="21"/>
      <c r="E48" s="24">
        <v>37474</v>
      </c>
      <c r="F48" s="19" t="s">
        <v>28</v>
      </c>
      <c r="G48" s="21"/>
      <c r="I48" s="47">
        <v>39347</v>
      </c>
      <c r="K48" s="65"/>
      <c r="L48" s="62"/>
      <c r="M48" s="21">
        <v>32</v>
      </c>
      <c r="N48" s="66">
        <f t="shared" si="1"/>
        <v>39347</v>
      </c>
      <c r="P48" s="125"/>
      <c r="Q48" s="69"/>
      <c r="S48" s="76">
        <v>29</v>
      </c>
      <c r="T48" s="76">
        <v>33</v>
      </c>
      <c r="U48" s="74"/>
      <c r="V48" s="80"/>
      <c r="W48" s="80"/>
      <c r="X48" s="80"/>
    </row>
    <row r="49" spans="1:24" ht="13.25" customHeight="1" x14ac:dyDescent="0.15">
      <c r="A49" s="1">
        <v>31</v>
      </c>
      <c r="B49" s="29"/>
      <c r="C49" s="32"/>
      <c r="E49" s="18">
        <v>36386</v>
      </c>
      <c r="F49" s="124" t="s">
        <v>15</v>
      </c>
      <c r="G49" s="129" t="s">
        <v>16</v>
      </c>
      <c r="I49" s="46">
        <v>38205</v>
      </c>
      <c r="K49" s="64"/>
      <c r="L49" s="62"/>
      <c r="M49" s="1">
        <v>31</v>
      </c>
      <c r="N49" s="66">
        <f t="shared" si="1"/>
        <v>38205</v>
      </c>
      <c r="P49" s="125"/>
      <c r="Q49" s="69"/>
      <c r="S49" s="76">
        <v>28</v>
      </c>
      <c r="T49" s="76">
        <v>32</v>
      </c>
      <c r="U49" s="86"/>
      <c r="V49" s="74"/>
      <c r="W49" s="74"/>
      <c r="X49" s="74"/>
    </row>
    <row r="50" spans="1:24" ht="13.25" customHeight="1" x14ac:dyDescent="0.15">
      <c r="A50" s="1">
        <v>30</v>
      </c>
      <c r="B50" s="29"/>
      <c r="C50" s="32"/>
      <c r="E50" s="18">
        <v>35333</v>
      </c>
      <c r="F50" s="127"/>
      <c r="G50" s="129"/>
      <c r="I50" s="46">
        <v>37099</v>
      </c>
      <c r="K50" s="55"/>
      <c r="L50" s="62"/>
      <c r="M50" s="1">
        <v>30</v>
      </c>
      <c r="N50" s="66">
        <f t="shared" si="1"/>
        <v>37099</v>
      </c>
      <c r="P50" s="125"/>
      <c r="Q50" s="69"/>
      <c r="S50" s="76">
        <v>27</v>
      </c>
      <c r="T50" s="76">
        <v>31</v>
      </c>
      <c r="U50" s="82"/>
      <c r="V50" s="74"/>
      <c r="W50" s="74"/>
      <c r="X50" s="74"/>
    </row>
    <row r="51" spans="1:24" ht="13.25" customHeight="1" x14ac:dyDescent="0.15">
      <c r="A51" s="1">
        <v>29</v>
      </c>
      <c r="B51" s="29"/>
      <c r="C51" s="32"/>
      <c r="E51" s="18">
        <v>34308</v>
      </c>
      <c r="F51" s="127"/>
      <c r="G51" s="129"/>
      <c r="I51" s="46">
        <v>36024</v>
      </c>
      <c r="K51" s="65" t="s">
        <v>5</v>
      </c>
      <c r="M51" s="1">
        <v>29</v>
      </c>
      <c r="N51" s="66">
        <f t="shared" si="1"/>
        <v>36024</v>
      </c>
      <c r="P51" s="94"/>
      <c r="Q51" s="69"/>
      <c r="S51" s="81">
        <v>26</v>
      </c>
      <c r="T51" s="93">
        <v>30</v>
      </c>
      <c r="U51" s="82"/>
      <c r="V51" s="74"/>
      <c r="W51" s="74"/>
      <c r="X51" s="74"/>
    </row>
    <row r="52" spans="1:24" ht="13.25" customHeight="1" x14ac:dyDescent="0.15">
      <c r="A52" s="1">
        <v>28</v>
      </c>
      <c r="B52" s="29"/>
      <c r="C52" s="32"/>
      <c r="E52" s="18">
        <v>33314</v>
      </c>
      <c r="F52" s="127"/>
      <c r="G52" s="129"/>
      <c r="I52" s="46">
        <v>34980</v>
      </c>
      <c r="K52" s="3"/>
      <c r="L52" s="59"/>
      <c r="M52" s="1">
        <v>28</v>
      </c>
      <c r="N52" s="66">
        <f t="shared" si="1"/>
        <v>34980</v>
      </c>
      <c r="P52" s="69"/>
      <c r="Q52" s="69"/>
      <c r="S52" s="92">
        <v>25</v>
      </c>
      <c r="T52" s="38">
        <v>29</v>
      </c>
      <c r="U52" s="82"/>
      <c r="V52" s="74"/>
      <c r="W52" s="74"/>
      <c r="X52" s="74"/>
    </row>
    <row r="53" spans="1:24" ht="13.25" customHeight="1" x14ac:dyDescent="0.15">
      <c r="A53" s="1">
        <v>27</v>
      </c>
      <c r="B53" s="30"/>
      <c r="C53" s="32"/>
      <c r="E53" s="18">
        <v>32348</v>
      </c>
      <c r="F53" s="127"/>
      <c r="G53" s="129"/>
      <c r="I53" s="46">
        <v>33966</v>
      </c>
      <c r="K53" s="3"/>
      <c r="L53" s="59"/>
      <c r="M53" s="1">
        <v>27</v>
      </c>
      <c r="N53" s="66">
        <f t="shared" si="1"/>
        <v>33966</v>
      </c>
      <c r="P53" s="69"/>
      <c r="Q53" s="69"/>
      <c r="S53" s="74"/>
      <c r="T53" s="74"/>
      <c r="U53" s="82"/>
      <c r="V53" s="74"/>
      <c r="W53" s="74"/>
      <c r="X53" s="74"/>
    </row>
    <row r="54" spans="1:24" ht="13.25" customHeight="1" x14ac:dyDescent="0.15">
      <c r="A54" s="1">
        <v>26</v>
      </c>
      <c r="B54" s="30"/>
      <c r="C54" s="32"/>
      <c r="E54" s="18">
        <v>31411</v>
      </c>
      <c r="F54" s="127"/>
      <c r="G54" s="129"/>
      <c r="I54" s="46">
        <v>32982</v>
      </c>
      <c r="L54" s="59"/>
      <c r="M54" s="1">
        <v>26</v>
      </c>
      <c r="N54" s="66">
        <f t="shared" si="1"/>
        <v>32982</v>
      </c>
      <c r="P54" s="69"/>
      <c r="Q54" s="69"/>
      <c r="S54" s="74"/>
      <c r="T54" s="74"/>
      <c r="U54" s="82"/>
      <c r="V54" s="74"/>
      <c r="W54" s="74"/>
      <c r="X54" s="74"/>
    </row>
    <row r="55" spans="1:24" s="5" customFormat="1" ht="13.25" customHeight="1" x14ac:dyDescent="0.15">
      <c r="A55" s="4">
        <v>25</v>
      </c>
      <c r="B55" s="37" t="s">
        <v>5</v>
      </c>
      <c r="C55" s="40"/>
      <c r="D55" s="4"/>
      <c r="E55" s="18">
        <v>30502</v>
      </c>
      <c r="F55" s="128"/>
      <c r="G55" s="13"/>
      <c r="I55" s="46">
        <v>32332</v>
      </c>
      <c r="K55" s="2"/>
      <c r="L55" s="59"/>
      <c r="M55" s="1">
        <v>25</v>
      </c>
      <c r="N55" s="66">
        <f t="shared" si="1"/>
        <v>32332</v>
      </c>
      <c r="P55" s="69"/>
      <c r="Q55" s="69"/>
      <c r="S55" s="74"/>
      <c r="T55" s="74"/>
      <c r="U55" s="82"/>
      <c r="V55" s="74"/>
      <c r="W55" s="74"/>
      <c r="X55" s="74"/>
    </row>
    <row r="56" spans="1:24" s="19" customFormat="1" ht="13.25" customHeight="1" x14ac:dyDescent="0.15">
      <c r="A56" s="21">
        <v>24</v>
      </c>
      <c r="B56" s="41"/>
      <c r="C56" s="41"/>
      <c r="D56" s="21"/>
      <c r="E56" s="20">
        <v>29619</v>
      </c>
      <c r="F56" s="19" t="s">
        <v>28</v>
      </c>
      <c r="G56" s="43"/>
      <c r="I56" s="47">
        <v>31396</v>
      </c>
      <c r="K56" s="2"/>
      <c r="L56" s="59"/>
      <c r="M56" s="21">
        <v>24</v>
      </c>
      <c r="N56" s="66">
        <f t="shared" si="1"/>
        <v>31396</v>
      </c>
      <c r="P56" s="69"/>
      <c r="Q56" s="69"/>
      <c r="S56" s="74"/>
      <c r="T56" s="74"/>
      <c r="U56" s="87"/>
      <c r="V56" s="80"/>
      <c r="W56" s="80"/>
      <c r="X56" s="80"/>
    </row>
    <row r="57" spans="1:24" s="19" customFormat="1" ht="13.25" customHeight="1" x14ac:dyDescent="0.15">
      <c r="A57" s="21">
        <v>23</v>
      </c>
      <c r="C57" s="41"/>
      <c r="D57" s="21"/>
      <c r="E57" s="20">
        <v>28762</v>
      </c>
      <c r="F57" s="19" t="s">
        <v>28</v>
      </c>
      <c r="G57" s="43"/>
      <c r="I57" s="47">
        <v>30487</v>
      </c>
      <c r="K57" s="2"/>
      <c r="L57" s="55"/>
      <c r="M57" s="21">
        <v>23</v>
      </c>
      <c r="N57" s="66">
        <f t="shared" si="1"/>
        <v>30487</v>
      </c>
      <c r="P57" s="69"/>
      <c r="Q57" s="69"/>
      <c r="S57" s="158" t="s">
        <v>38</v>
      </c>
      <c r="T57" s="159"/>
      <c r="U57" s="87"/>
      <c r="V57" s="80"/>
      <c r="W57" s="80"/>
      <c r="X57" s="80"/>
    </row>
    <row r="58" spans="1:24" ht="13.25" customHeight="1" x14ac:dyDescent="0.15">
      <c r="A58" s="1">
        <v>22</v>
      </c>
      <c r="B58" s="32"/>
      <c r="C58" s="30"/>
      <c r="E58" s="18">
        <v>27929</v>
      </c>
      <c r="F58" s="6"/>
      <c r="G58" s="6"/>
      <c r="I58" s="46">
        <v>29605</v>
      </c>
      <c r="L58" s="55"/>
      <c r="M58" s="1">
        <v>22</v>
      </c>
      <c r="N58" s="66">
        <f t="shared" si="1"/>
        <v>29605</v>
      </c>
      <c r="P58" s="69"/>
      <c r="Q58" s="69"/>
      <c r="S58" s="75" t="s">
        <v>41</v>
      </c>
      <c r="T58" s="76">
        <v>23</v>
      </c>
      <c r="U58" s="74"/>
      <c r="V58" s="74"/>
      <c r="W58" s="74"/>
      <c r="X58" s="74"/>
    </row>
    <row r="59" spans="1:24" ht="13.25" customHeight="1" x14ac:dyDescent="0.15">
      <c r="A59" s="1">
        <v>21</v>
      </c>
      <c r="B59" s="32"/>
      <c r="C59" s="30"/>
      <c r="E59" s="18">
        <v>27131</v>
      </c>
      <c r="F59" s="6"/>
      <c r="G59" s="6"/>
      <c r="I59" s="46">
        <v>28759</v>
      </c>
      <c r="K59" s="19"/>
      <c r="L59" s="30"/>
      <c r="M59" s="1">
        <v>21</v>
      </c>
      <c r="N59" s="66">
        <f t="shared" si="1"/>
        <v>28759</v>
      </c>
      <c r="P59" s="69"/>
      <c r="Q59" s="69"/>
      <c r="S59" s="76">
        <v>21</v>
      </c>
      <c r="T59" s="76">
        <v>22</v>
      </c>
      <c r="U59" s="83"/>
      <c r="V59" s="74"/>
      <c r="W59" s="74"/>
      <c r="X59" s="74"/>
    </row>
    <row r="60" spans="1:24" ht="13.25" customHeight="1" x14ac:dyDescent="0.15">
      <c r="A60" s="1">
        <v>20</v>
      </c>
      <c r="B60" s="32"/>
      <c r="C60" s="30"/>
      <c r="E60" s="18">
        <v>26396</v>
      </c>
      <c r="F60" s="6"/>
      <c r="G60" s="6"/>
      <c r="I60" s="46">
        <v>27979</v>
      </c>
      <c r="K60" s="19"/>
      <c r="L60" s="30"/>
      <c r="M60" s="1">
        <v>20</v>
      </c>
      <c r="N60" s="66">
        <f t="shared" si="1"/>
        <v>27979</v>
      </c>
      <c r="P60" s="69"/>
      <c r="Q60" s="69"/>
      <c r="S60" s="76">
        <v>20</v>
      </c>
      <c r="T60" s="76">
        <v>21</v>
      </c>
      <c r="U60" s="74"/>
      <c r="V60" s="74"/>
      <c r="W60" s="74"/>
      <c r="X60" s="74"/>
    </row>
    <row r="61" spans="1:24" ht="13.25" customHeight="1" x14ac:dyDescent="0.15">
      <c r="A61" s="1">
        <v>19</v>
      </c>
      <c r="B61" s="32"/>
      <c r="C61" s="30"/>
      <c r="E61" s="18">
        <v>25642</v>
      </c>
      <c r="F61" s="6"/>
      <c r="G61" s="6"/>
      <c r="I61" s="46">
        <v>27181</v>
      </c>
      <c r="K61" s="42"/>
      <c r="L61" s="37" t="s">
        <v>1</v>
      </c>
      <c r="M61" s="1">
        <v>19</v>
      </c>
      <c r="N61" s="66">
        <f t="shared" si="1"/>
        <v>27181</v>
      </c>
      <c r="P61" s="69"/>
      <c r="Q61" s="69"/>
      <c r="S61" s="76">
        <v>19</v>
      </c>
      <c r="T61" s="76">
        <v>20</v>
      </c>
      <c r="U61" s="74"/>
      <c r="V61" s="74"/>
      <c r="W61" s="74"/>
      <c r="X61" s="74"/>
    </row>
    <row r="62" spans="1:24" ht="13.25" customHeight="1" x14ac:dyDescent="0.15">
      <c r="A62" s="1">
        <v>18</v>
      </c>
      <c r="B62" s="39"/>
      <c r="C62" s="37" t="s">
        <v>1</v>
      </c>
      <c r="E62" s="18">
        <v>24948</v>
      </c>
      <c r="F62" s="6"/>
      <c r="G62" s="6"/>
      <c r="I62" s="46">
        <v>26444</v>
      </c>
      <c r="M62" s="21" t="s">
        <v>42</v>
      </c>
      <c r="N62" s="68">
        <f t="shared" si="1"/>
        <v>26444</v>
      </c>
      <c r="P62" s="70"/>
      <c r="Q62" s="70"/>
      <c r="S62" s="76">
        <v>18</v>
      </c>
      <c r="T62" s="76">
        <v>19</v>
      </c>
      <c r="U62" s="74"/>
      <c r="V62" s="74"/>
      <c r="W62" s="74"/>
      <c r="X62" s="74"/>
    </row>
    <row r="63" spans="1:24" s="19" customFormat="1" ht="13.25" customHeight="1" x14ac:dyDescent="0.15">
      <c r="A63" s="21"/>
      <c r="B63" s="42"/>
      <c r="C63" s="42"/>
      <c r="D63" s="21"/>
      <c r="E63" s="44"/>
      <c r="F63" s="19" t="s">
        <v>28</v>
      </c>
      <c r="G63" s="22"/>
      <c r="I63" s="47">
        <v>25742</v>
      </c>
      <c r="K63" s="42"/>
      <c r="L63" s="2"/>
      <c r="M63" s="21" t="s">
        <v>43</v>
      </c>
      <c r="N63" s="68">
        <f t="shared" si="1"/>
        <v>25742</v>
      </c>
      <c r="P63" s="70"/>
      <c r="Q63" s="70"/>
      <c r="S63" s="74"/>
      <c r="T63" s="74"/>
      <c r="U63" s="80"/>
      <c r="V63" s="74"/>
      <c r="W63" s="74"/>
      <c r="X63" s="74"/>
    </row>
    <row r="64" spans="1:24" s="19" customFormat="1" ht="13.25" customHeight="1" x14ac:dyDescent="0.15">
      <c r="A64" s="21"/>
      <c r="B64" s="42"/>
      <c r="C64" s="42"/>
      <c r="D64" s="21"/>
      <c r="E64" s="44"/>
      <c r="F64" s="19" t="s">
        <v>28</v>
      </c>
      <c r="I64" s="47">
        <v>25138</v>
      </c>
      <c r="M64" s="21" t="s">
        <v>44</v>
      </c>
      <c r="N64" s="68">
        <f t="shared" si="1"/>
        <v>25138</v>
      </c>
      <c r="P64" s="70"/>
      <c r="Q64" s="70"/>
      <c r="S64" s="80"/>
      <c r="T64" s="80"/>
      <c r="U64" s="89" t="s">
        <v>39</v>
      </c>
      <c r="V64" s="89"/>
      <c r="W64" s="80"/>
      <c r="X64" s="80"/>
    </row>
    <row r="65" spans="1:24" ht="13.25" customHeight="1" x14ac:dyDescent="0.15">
      <c r="A65" s="1" t="s">
        <v>25</v>
      </c>
      <c r="B65" s="37"/>
      <c r="C65" s="32"/>
      <c r="E65" s="18">
        <v>24587</v>
      </c>
      <c r="I65" s="46">
        <v>24533</v>
      </c>
      <c r="K65" s="37"/>
      <c r="L65" s="32"/>
      <c r="M65" s="1" t="s">
        <v>25</v>
      </c>
      <c r="N65" s="66">
        <f t="shared" si="1"/>
        <v>24533</v>
      </c>
      <c r="P65" s="69"/>
      <c r="Q65" s="69"/>
      <c r="S65" s="80"/>
      <c r="T65" s="80"/>
      <c r="U65" s="76" t="s">
        <v>25</v>
      </c>
      <c r="V65" s="76" t="s">
        <v>25</v>
      </c>
      <c r="W65" s="79"/>
      <c r="X65" s="79"/>
    </row>
    <row r="66" spans="1:24" ht="13.25" customHeight="1" x14ac:dyDescent="0.15">
      <c r="A66" s="1" t="s">
        <v>24</v>
      </c>
      <c r="B66" s="37"/>
      <c r="C66" s="32"/>
      <c r="E66" s="18">
        <v>24105</v>
      </c>
      <c r="I66" s="46">
        <v>24248</v>
      </c>
      <c r="K66" s="37"/>
      <c r="L66" s="32"/>
      <c r="M66" s="1" t="s">
        <v>24</v>
      </c>
      <c r="N66" s="66">
        <f t="shared" si="1"/>
        <v>24248</v>
      </c>
      <c r="P66" s="69"/>
      <c r="Q66" s="69"/>
      <c r="S66" s="74"/>
      <c r="T66" s="74"/>
      <c r="U66" s="76" t="s">
        <v>24</v>
      </c>
      <c r="V66" s="76" t="s">
        <v>24</v>
      </c>
      <c r="W66" s="74"/>
      <c r="X66" s="74"/>
    </row>
    <row r="67" spans="1:24" ht="13.25" customHeight="1" x14ac:dyDescent="0.15">
      <c r="A67" s="1" t="s">
        <v>23</v>
      </c>
      <c r="B67" s="30"/>
      <c r="C67" s="32"/>
      <c r="E67" s="18">
        <v>23632</v>
      </c>
      <c r="I67" s="46">
        <v>23700</v>
      </c>
      <c r="K67" s="30"/>
      <c r="L67" s="32"/>
      <c r="M67" s="1" t="s">
        <v>23</v>
      </c>
      <c r="N67" s="66">
        <f t="shared" si="1"/>
        <v>23700</v>
      </c>
      <c r="P67" s="69"/>
      <c r="Q67" s="69"/>
      <c r="S67" s="74"/>
      <c r="T67" s="74"/>
      <c r="U67" s="76" t="s">
        <v>23</v>
      </c>
      <c r="V67" s="76" t="s">
        <v>23</v>
      </c>
      <c r="W67" s="74"/>
      <c r="X67" s="74"/>
    </row>
    <row r="68" spans="1:24" ht="13.25" customHeight="1" x14ac:dyDescent="0.15">
      <c r="A68" s="1" t="s">
        <v>22</v>
      </c>
      <c r="B68" s="30"/>
      <c r="C68" s="32"/>
      <c r="E68" s="18">
        <v>23169</v>
      </c>
      <c r="I68" s="46">
        <v>23144</v>
      </c>
      <c r="K68" s="30"/>
      <c r="L68" s="32"/>
      <c r="M68" s="1" t="s">
        <v>22</v>
      </c>
      <c r="N68" s="66">
        <f t="shared" si="1"/>
        <v>23144</v>
      </c>
      <c r="P68" s="69"/>
      <c r="Q68" s="69"/>
      <c r="S68" s="74"/>
      <c r="T68" s="74"/>
      <c r="U68" s="76" t="s">
        <v>22</v>
      </c>
      <c r="V68" s="76" t="s">
        <v>22</v>
      </c>
      <c r="W68" s="74"/>
      <c r="X68" s="74"/>
    </row>
    <row r="69" spans="1:24" ht="13.25" customHeight="1" x14ac:dyDescent="0.15">
      <c r="A69" s="1" t="s">
        <v>21</v>
      </c>
      <c r="B69" s="37" t="s">
        <v>2</v>
      </c>
      <c r="C69" s="39"/>
      <c r="E69" s="18">
        <v>22715</v>
      </c>
      <c r="I69" s="46">
        <v>22681</v>
      </c>
      <c r="K69" s="37" t="s">
        <v>2</v>
      </c>
      <c r="L69" s="39"/>
      <c r="M69" s="1" t="s">
        <v>21</v>
      </c>
      <c r="N69" s="66">
        <f t="shared" si="1"/>
        <v>22681</v>
      </c>
      <c r="P69" s="69"/>
      <c r="Q69" s="69"/>
      <c r="S69" s="74"/>
      <c r="T69" s="74"/>
      <c r="U69" s="76" t="s">
        <v>21</v>
      </c>
      <c r="V69" s="76" t="s">
        <v>21</v>
      </c>
      <c r="W69" s="74"/>
      <c r="X69" s="74"/>
    </row>
    <row r="70" spans="1:24" s="19" customFormat="1" ht="13.25" customHeight="1" x14ac:dyDescent="0.15">
      <c r="A70" s="21"/>
      <c r="B70" s="42"/>
      <c r="C70" s="42"/>
      <c r="D70" s="21"/>
      <c r="E70" s="44"/>
      <c r="F70" s="19" t="s">
        <v>28</v>
      </c>
      <c r="I70" s="47">
        <v>22214</v>
      </c>
      <c r="K70" s="42"/>
      <c r="L70" s="42"/>
      <c r="M70" s="21" t="s">
        <v>45</v>
      </c>
      <c r="N70" s="66">
        <f t="shared" si="1"/>
        <v>22214</v>
      </c>
      <c r="P70" s="69"/>
      <c r="Q70" s="69"/>
      <c r="S70" s="74"/>
      <c r="T70" s="74"/>
      <c r="W70" s="74"/>
      <c r="X70" s="74"/>
    </row>
    <row r="71" spans="1:24" s="19" customFormat="1" ht="13.25" customHeight="1" x14ac:dyDescent="0.15">
      <c r="A71" s="21"/>
      <c r="B71" s="42"/>
      <c r="C71" s="42"/>
      <c r="D71" s="21"/>
      <c r="E71" s="44"/>
      <c r="F71" s="19" t="s">
        <v>28</v>
      </c>
      <c r="I71" s="47">
        <v>21828</v>
      </c>
      <c r="M71" s="21" t="s">
        <v>46</v>
      </c>
      <c r="N71" s="66">
        <f t="shared" si="1"/>
        <v>21828</v>
      </c>
      <c r="P71" s="69"/>
      <c r="Q71" s="69"/>
      <c r="R71" s="90" t="s">
        <v>40</v>
      </c>
      <c r="S71" s="80"/>
      <c r="T71" s="80"/>
      <c r="U71" s="80"/>
      <c r="V71" s="80"/>
      <c r="W71" s="80"/>
      <c r="X71" s="80"/>
    </row>
    <row r="72" spans="1:24" ht="13.25" customHeight="1" x14ac:dyDescent="0.15">
      <c r="A72" s="1" t="s">
        <v>20</v>
      </c>
      <c r="B72" s="32"/>
      <c r="C72" s="10"/>
      <c r="E72" s="18">
        <v>21633</v>
      </c>
      <c r="I72" s="46">
        <v>21543</v>
      </c>
      <c r="K72" s="32"/>
      <c r="L72" s="10"/>
      <c r="M72" s="1" t="s">
        <v>20</v>
      </c>
      <c r="N72" s="66">
        <f t="shared" si="1"/>
        <v>21543</v>
      </c>
      <c r="P72" s="69"/>
      <c r="Q72" s="69"/>
      <c r="R72" s="76" t="s">
        <v>20</v>
      </c>
      <c r="S72" s="90"/>
      <c r="T72" s="80"/>
      <c r="U72" s="74"/>
      <c r="V72" s="74"/>
      <c r="W72" s="74"/>
      <c r="X72" s="74"/>
    </row>
    <row r="73" spans="1:24" ht="13.25" customHeight="1" x14ac:dyDescent="0.15">
      <c r="A73" s="1" t="s">
        <v>19</v>
      </c>
      <c r="B73" s="39"/>
      <c r="C73" s="10"/>
      <c r="E73" s="18">
        <v>21313</v>
      </c>
      <c r="I73" s="46">
        <v>21254</v>
      </c>
      <c r="K73" s="39"/>
      <c r="L73" s="10"/>
      <c r="M73" s="1" t="s">
        <v>19</v>
      </c>
      <c r="N73" s="66">
        <f t="shared" ref="N73:N75" si="2">I73</f>
        <v>21254</v>
      </c>
      <c r="P73" s="69"/>
      <c r="Q73" s="69"/>
      <c r="R73" s="76" t="s">
        <v>19</v>
      </c>
      <c r="S73" s="76" t="s">
        <v>20</v>
      </c>
      <c r="U73" s="74"/>
      <c r="V73" s="74"/>
      <c r="W73" s="74"/>
      <c r="X73" s="74"/>
    </row>
    <row r="74" spans="1:24" ht="13.25" customHeight="1" x14ac:dyDescent="0.15">
      <c r="A74" s="1" t="s">
        <v>18</v>
      </c>
      <c r="B74" s="32"/>
      <c r="C74" s="30"/>
      <c r="E74" s="18">
        <v>20998</v>
      </c>
      <c r="I74" s="46">
        <v>20948</v>
      </c>
      <c r="K74" s="32"/>
      <c r="L74" s="30"/>
      <c r="M74" s="1" t="s">
        <v>18</v>
      </c>
      <c r="N74" s="66">
        <f t="shared" si="2"/>
        <v>20948</v>
      </c>
      <c r="P74" s="69"/>
      <c r="Q74" s="69"/>
      <c r="R74" s="76" t="s">
        <v>18</v>
      </c>
      <c r="S74" s="76" t="s">
        <v>19</v>
      </c>
      <c r="U74" s="74"/>
      <c r="V74" s="74"/>
      <c r="W74" s="74"/>
      <c r="X74" s="74"/>
    </row>
    <row r="75" spans="1:24" ht="13.25" customHeight="1" x14ac:dyDescent="0.15">
      <c r="A75" s="1" t="s">
        <v>17</v>
      </c>
      <c r="B75" s="39"/>
      <c r="C75" s="37" t="s">
        <v>3</v>
      </c>
      <c r="E75" s="18">
        <v>20688</v>
      </c>
      <c r="I75" s="46">
        <v>20880</v>
      </c>
      <c r="K75" s="39"/>
      <c r="L75" s="37" t="s">
        <v>3</v>
      </c>
      <c r="M75" s="1" t="s">
        <v>17</v>
      </c>
      <c r="N75" s="66">
        <f t="shared" si="2"/>
        <v>20880</v>
      </c>
      <c r="P75" s="69"/>
      <c r="Q75" s="69"/>
      <c r="R75" s="76" t="s">
        <v>17</v>
      </c>
      <c r="S75" s="76" t="s">
        <v>18</v>
      </c>
      <c r="U75" s="74"/>
      <c r="V75" s="74"/>
      <c r="W75" s="74"/>
      <c r="X75" s="74"/>
    </row>
    <row r="76" spans="1:24" x14ac:dyDescent="0.15">
      <c r="E76" s="2"/>
      <c r="F76" s="19" t="s">
        <v>28</v>
      </c>
      <c r="I76" s="47">
        <v>20619</v>
      </c>
      <c r="M76" s="21" t="s">
        <v>47</v>
      </c>
      <c r="S76" s="76" t="s">
        <v>17</v>
      </c>
      <c r="U76" s="74"/>
      <c r="V76" s="74"/>
      <c r="W76" s="74"/>
      <c r="X76" s="74"/>
    </row>
    <row r="77" spans="1:24" x14ac:dyDescent="0.15">
      <c r="F77" s="19" t="s">
        <v>28</v>
      </c>
      <c r="I77" s="47">
        <v>20410</v>
      </c>
      <c r="M77" s="21" t="s">
        <v>48</v>
      </c>
      <c r="U77" s="74"/>
      <c r="V77" s="74"/>
      <c r="W77" s="74"/>
      <c r="X77" s="74"/>
    </row>
    <row r="78" spans="1:24" x14ac:dyDescent="0.15">
      <c r="S78" s="74"/>
      <c r="T78" s="74"/>
      <c r="U78" s="74"/>
      <c r="V78" s="74"/>
      <c r="W78" s="74"/>
      <c r="X78" s="74"/>
    </row>
    <row r="79" spans="1:24" x14ac:dyDescent="0.15">
      <c r="S79" s="74"/>
      <c r="T79" s="74"/>
      <c r="U79" s="74"/>
      <c r="V79" s="74"/>
      <c r="W79" s="74"/>
      <c r="X79" s="74"/>
    </row>
    <row r="80" spans="1:24" x14ac:dyDescent="0.15">
      <c r="M80" s="1"/>
      <c r="S80" s="74"/>
      <c r="T80" s="74"/>
    </row>
    <row r="81" spans="13:17" x14ac:dyDescent="0.15">
      <c r="M81" s="1"/>
      <c r="N81" s="14"/>
      <c r="P81" s="14"/>
      <c r="Q81" s="14"/>
    </row>
  </sheetData>
  <mergeCells count="25">
    <mergeCell ref="K1:X1"/>
    <mergeCell ref="P14:P20"/>
    <mergeCell ref="Q19:Q27"/>
    <mergeCell ref="S57:T57"/>
    <mergeCell ref="S45:T45"/>
    <mergeCell ref="U32:V32"/>
    <mergeCell ref="S7:T7"/>
    <mergeCell ref="S15:T15"/>
    <mergeCell ref="S27:T27"/>
    <mergeCell ref="A1:I1"/>
    <mergeCell ref="P42:P50"/>
    <mergeCell ref="F49:F55"/>
    <mergeCell ref="G49:G54"/>
    <mergeCell ref="F7:F10"/>
    <mergeCell ref="F3:G3"/>
    <mergeCell ref="G23:G31"/>
    <mergeCell ref="F19:F25"/>
    <mergeCell ref="G8:G21"/>
    <mergeCell ref="F30:F39"/>
    <mergeCell ref="G38:G46"/>
    <mergeCell ref="B7:B10"/>
    <mergeCell ref="P5:Q7"/>
    <mergeCell ref="Q8:Q13"/>
    <mergeCell ref="P26:P35"/>
    <mergeCell ref="Q33:Q41"/>
  </mergeCells>
  <phoneticPr fontId="0" type="noConversion"/>
  <pageMargins left="7.874015748031496E-2" right="7.874015748031496E-2" top="0.19685039370078741" bottom="0.19685039370078741" header="0.31496062992125984" footer="0.31496062992125984"/>
  <pageSetup paperSize="9" scale="6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f0194d-3606-4a33-96d0-98a07738492e" xsi:nil="true"/>
    <lcf76f155ced4ddcb4097134ff3c332f xmlns="50cb5de6-f12a-4aa8-8384-78222a2e2c5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D16965E40354E83AF52B4F100C0BC" ma:contentTypeVersion="16" ma:contentTypeDescription="Create a new document." ma:contentTypeScope="" ma:versionID="68f8ba6b0d08ea30f9730159541db099">
  <xsd:schema xmlns:xsd="http://www.w3.org/2001/XMLSchema" xmlns:xs="http://www.w3.org/2001/XMLSchema" xmlns:p="http://schemas.microsoft.com/office/2006/metadata/properties" xmlns:ns2="50cb5de6-f12a-4aa8-8384-78222a2e2c5e" xmlns:ns3="5df0194d-3606-4a33-96d0-98a07738492e" targetNamespace="http://schemas.microsoft.com/office/2006/metadata/properties" ma:root="true" ma:fieldsID="1e72e387c7df008ec331b042aebf789a" ns2:_="" ns3:_="">
    <xsd:import namespace="50cb5de6-f12a-4aa8-8384-78222a2e2c5e"/>
    <xsd:import namespace="5df0194d-3606-4a33-96d0-98a0773849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b5de6-f12a-4aa8-8384-78222a2e2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0194d-3606-4a33-96d0-98a0773849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e47ed5b-833e-48e3-bfe6-a4bdbb597f2c}" ma:internalName="TaxCatchAll" ma:showField="CatchAllData" ma:web="5df0194d-3606-4a33-96d0-98a077384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70AF2-BDFB-40E0-BEB1-DC867D5CD508}">
  <ds:schemaRefs>
    <ds:schemaRef ds:uri="50cb5de6-f12a-4aa8-8384-78222a2e2c5e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df0194d-3606-4a33-96d0-98a07738492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EA24FC6-68C2-4FFA-9717-7132AE86C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b5de6-f12a-4aa8-8384-78222a2e2c5e"/>
    <ds:schemaRef ds:uri="5df0194d-3606-4a33-96d0-98a0773849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F2CB99-2FE7-411D-94E2-635EE0C860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Simplified</vt:lpstr>
      <vt:lpstr>B &amp; C</vt:lpstr>
      <vt:lpstr>Grade D</vt:lpstr>
      <vt:lpstr>Grade E</vt:lpstr>
      <vt:lpstr>Grade F</vt:lpstr>
      <vt:lpstr>Grade G</vt:lpstr>
      <vt:lpstr>Grade H</vt:lpstr>
      <vt:lpstr>Professors</vt:lpstr>
      <vt:lpstr>points data 28.6.23</vt:lpstr>
      <vt:lpstr>TU Version</vt:lpstr>
      <vt:lpstr>'TU Version'!Print_Area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Microsoft Office User</cp:lastModifiedBy>
  <cp:lastPrinted>2023-04-13T16:53:45Z</cp:lastPrinted>
  <dcterms:created xsi:type="dcterms:W3CDTF">2006-07-28T14:39:57Z</dcterms:created>
  <dcterms:modified xsi:type="dcterms:W3CDTF">2023-07-03T15:34:06Z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0x01010049CD16965E40354E83AF52B4F100C0BC</vt:lpwstr>
  </property>
  <property fmtid="{D5CDD505-2E9C-101B-9397-08002B2CF9AE}" pid="3" name="MediaServiceImageTags">
    <vt:lpwstr/>
  </property>
</Properties>
</file>